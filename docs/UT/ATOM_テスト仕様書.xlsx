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共通_ヘッダー" sheetId="2" state="visible" r:id="rId2"/>
    <sheet xmlns:r="http://schemas.openxmlformats.org/officeDocument/2006/relationships" name="共通_認証セッション" sheetId="3" state="visible" r:id="rId3"/>
    <sheet xmlns:r="http://schemas.openxmlformats.org/officeDocument/2006/relationships" name="ログイン画面" sheetId="4" state="visible" r:id="rId4"/>
    <sheet xmlns:r="http://schemas.openxmlformats.org/officeDocument/2006/relationships" name="メニュー画面" sheetId="5" state="visible" r:id="rId5"/>
    <sheet xmlns:r="http://schemas.openxmlformats.org/officeDocument/2006/relationships" name="INVOICE取込画面" sheetId="6" state="visible" r:id="rId6"/>
    <sheet xmlns:r="http://schemas.openxmlformats.org/officeDocument/2006/relationships" name="取込結果確認画面" sheetId="7" state="visible" r:id="rId7"/>
  </sheets>
  <definedNames>
    <definedName name="_xlnm._FilterDatabase" localSheetId="1" hidden="1">'共通_ヘッダー'!$A$1:$L$19</definedName>
    <definedName name="_xlnm._FilterDatabase" localSheetId="2" hidden="1">'共通_認証セッション'!$A$1:$L$16</definedName>
    <definedName name="_xlnm._FilterDatabase" localSheetId="3" hidden="1">'ログイン画面'!$A$1:$L$14</definedName>
    <definedName name="_xlnm._FilterDatabase" localSheetId="4" hidden="1">'メニュー画面'!$A$1:$L$18</definedName>
    <definedName name="_xlnm._FilterDatabase" localSheetId="5" hidden="1">'INVOICE取込画面'!$A$1:$L$60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eiryo UI"/>
      <charset val="1"/>
      <family val="0"/>
      <b val="1"/>
      <color rgb="FF000000"/>
      <sz val="18"/>
    </font>
    <font>
      <name val="Noto Sans CJK SC"/>
      <family val="2"/>
      <b val="1"/>
      <color rgb="FF000000"/>
      <sz val="18"/>
    </font>
    <font>
      <name val="Meiryo UI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charset val="1"/>
      <family val="2"/>
      <b val="1"/>
      <color rgb="FF000000"/>
      <sz val="11"/>
    </font>
    <font>
      <name val="Meiryo UI"/>
      <charset val="1"/>
      <family val="0"/>
      <color rgb="FF000000"/>
      <sz val="11"/>
    </font>
    <font>
      <name val="Noto Sans CJK SC"/>
      <family val="2"/>
      <color rgb="FF000000"/>
      <sz val="11"/>
    </font>
    <font>
      <name val="Noto Sans CJK SC"/>
      <charset val="1"/>
      <family val="2"/>
      <color rgb="FF000000"/>
      <sz val="11"/>
    </font>
    <font>
      <name val="Noto Sans CJK SC"/>
      <charset val="1"/>
      <family val="2"/>
      <b val="1"/>
      <color rgb="FF000000"/>
      <sz val="13"/>
    </font>
    <font>
      <name val="Noto Sans CJK SC"/>
      <charset val="1"/>
      <family val="2"/>
      <b val="1"/>
      <color rgb="FFFFFFFF"/>
      <sz val="11"/>
    </font>
    <font>
      <name val="Meiryo UI"/>
      <charset val="1"/>
      <family val="0"/>
      <b val="1"/>
      <color rgb="FFFFFFFF"/>
      <sz val="11"/>
    </font>
    <font>
      <name val="Noto Sans CJK SC"/>
      <charset val="1"/>
      <family val="2"/>
      <sz val="10"/>
    </font>
    <font>
      <name val="Meiryo UI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b val="1"/>
      <sz val="10"/>
    </font>
    <font>
      <name val="Meiryo UI"/>
      <charset val="1"/>
      <family val="0"/>
      <b val="1"/>
      <sz val="10"/>
    </font>
    <font>
      <name val="Meiryo UI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color rgb="FF808080"/>
      <sz val="10"/>
    </font>
  </fonts>
  <fills count="6">
    <fill>
      <patternFill/>
    </fill>
    <fill>
      <patternFill patternType="gray125"/>
    </fill>
    <fill>
      <patternFill patternType="solid">
        <fgColor rgb="FFEDE7F6"/>
        <bgColor rgb="FFF2F2F2"/>
      </patternFill>
    </fill>
    <fill>
      <patternFill patternType="solid">
        <fgColor rgb="FF400080"/>
        <bgColor rgb="FF000080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EDE7F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13" fillId="3" borderId="0" applyAlignment="1" pivotButton="0" quotePrefix="0" xfId="0">
      <alignment horizontal="general" vertical="center"/>
    </xf>
    <xf numFmtId="0" fontId="14" fillId="3" borderId="0" applyAlignment="1" pivotButton="0" quotePrefix="0" xfId="0">
      <alignment horizontal="general" vertical="center"/>
    </xf>
    <xf numFmtId="0" fontId="15" fillId="0" borderId="1" applyAlignment="1" pivotButton="0" quotePrefix="0" xfId="0">
      <alignment horizontal="left" vertical="bottom"/>
    </xf>
    <xf numFmtId="0" fontId="1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left" vertical="bottom"/>
    </xf>
    <xf numFmtId="0" fontId="18" fillId="2" borderId="1" applyAlignment="1" pivotButton="0" quotePrefix="0" xfId="0">
      <alignment horizontal="left" vertical="bottom"/>
    </xf>
    <xf numFmtId="0" fontId="19" fillId="2" borderId="1" applyAlignment="1" pivotButton="0" quotePrefix="0" xfId="0">
      <alignment horizontal="center" vertical="bottom"/>
    </xf>
    <xf numFmtId="0" fontId="16" fillId="4" borderId="1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center" vertical="top"/>
    </xf>
    <xf numFmtId="0" fontId="16" fillId="4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2" fillId="5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13" fillId="3" borderId="0" applyAlignment="1" pivotButton="0" quotePrefix="0" xfId="0">
      <alignment horizontal="general" vertical="center"/>
    </xf>
    <xf numFmtId="0" fontId="14" fillId="3" borderId="0" applyAlignment="1" pivotButton="0" quotePrefix="0" xfId="0">
      <alignment horizontal="general" vertical="center"/>
    </xf>
    <xf numFmtId="0" fontId="15" fillId="0" borderId="1" applyAlignment="1" pivotButton="0" quotePrefix="0" xfId="0">
      <alignment horizontal="left" vertical="bottom"/>
    </xf>
    <xf numFmtId="0" fontId="1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left" vertical="bottom"/>
    </xf>
    <xf numFmtId="0" fontId="18" fillId="2" borderId="1" applyAlignment="1" pivotButton="0" quotePrefix="0" xfId="0">
      <alignment horizontal="left" vertical="bottom"/>
    </xf>
    <xf numFmtId="0" fontId="19" fillId="2" borderId="1" applyAlignment="1" pivotButton="0" quotePrefix="0" xfId="0">
      <alignment horizontal="center" vertical="bottom"/>
    </xf>
    <xf numFmtId="0" fontId="16" fillId="4" borderId="1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center" vertical="top"/>
    </xf>
    <xf numFmtId="0" fontId="16" fillId="4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2" fillId="5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400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40008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4" min="1" max="1"/>
    <col width="26" customWidth="1" style="24" min="2" max="2"/>
    <col width="18" customWidth="1" style="24" min="3" max="6"/>
    <col width="30" customWidth="1" style="24" min="7" max="7"/>
  </cols>
  <sheetData>
    <row r="2" ht="27" customHeight="1" s="25">
      <c r="B2" s="26" t="inlineStr">
        <is>
          <t>ATOM テスト仕様書</t>
        </is>
      </c>
    </row>
    <row r="3" ht="15" customHeight="1" s="25">
      <c r="B3" s="27" t="inlineStr">
        <is>
          <t>ASP.NET Web Forms 版 ATOM　画面テスト仕様書</t>
        </is>
      </c>
    </row>
    <row r="5" ht="16.5" customHeight="1" s="25">
      <c r="B5" s="28" t="inlineStr">
        <is>
          <t>対象システム</t>
        </is>
      </c>
      <c r="C5" s="29" t="inlineStr">
        <is>
          <t>ATOM（TJM_ATOM）</t>
        </is>
      </c>
    </row>
    <row r="6" ht="15" customHeight="1" s="25">
      <c r="B6" s="28" t="inlineStr">
        <is>
          <t>対象バージョン</t>
        </is>
      </c>
      <c r="C6" s="29" t="inlineStr">
        <is>
          <t>0.1.0</t>
        </is>
      </c>
    </row>
    <row r="7" ht="15" customHeight="1" s="25">
      <c r="B7" s="28" t="inlineStr">
        <is>
          <t>作成日</t>
        </is>
      </c>
      <c r="C7" s="29" t="inlineStr">
        <is>
          <t>2026-08-14</t>
        </is>
      </c>
    </row>
    <row r="8" ht="16.5" customHeight="1" s="25">
      <c r="B8" s="28" t="inlineStr">
        <is>
          <t>対象画面</t>
        </is>
      </c>
      <c r="C8" s="30" t="inlineStr">
        <is>
          <t>共通ヘッダー／ログイン画面／メインメニュー画面／INVOICE・PACKING取込画面／取込結果確認画面</t>
        </is>
      </c>
    </row>
    <row r="9" ht="16.5" customHeight="1" s="25">
      <c r="B9" s="28" t="inlineStr">
        <is>
          <t>粒度</t>
        </is>
      </c>
      <c r="C9" s="30" t="inlineStr">
        <is>
          <t>画面項目・操作単位の網羅</t>
        </is>
      </c>
    </row>
    <row r="10" ht="16.5" customHeight="1" s="25">
      <c r="B10" s="28" t="inlineStr">
        <is>
          <t>関連文書</t>
        </is>
      </c>
      <c r="C10" s="29" t="inlineStr">
        <is>
          <t>docs/specs/ 配下の画面設計書、docs/02_保守マップ.md</t>
        </is>
      </c>
    </row>
    <row r="12" ht="15.75" customHeight="1" s="25">
      <c r="B12" s="31" t="inlineStr">
        <is>
          <t>凡例</t>
        </is>
      </c>
    </row>
    <row r="13" ht="16.5" customHeight="1" s="25">
      <c r="B13" s="28" t="inlineStr">
        <is>
          <t>状態＝実装済</t>
        </is>
      </c>
      <c r="C13" s="30" t="inlineStr">
        <is>
          <t>現時点で実装されており、テストできる項目</t>
        </is>
      </c>
    </row>
    <row r="14" ht="16.5" customHeight="1" s="25">
      <c r="B14" s="28" t="inlineStr">
        <is>
          <t>状態＝未実装</t>
        </is>
      </c>
      <c r="C14" s="30" t="inlineStr">
        <is>
          <t>仕様として起票済みだが、まだ実装していない項目。実装後にそのまま使う</t>
        </is>
      </c>
    </row>
    <row r="15" ht="16.5" customHeight="1" s="25">
      <c r="B15" s="28" t="inlineStr">
        <is>
          <t>黄色のセル</t>
        </is>
      </c>
      <c r="C15" s="30" t="inlineStr">
        <is>
          <t>テスト実施者が記入する欄（実施日・結果・確認者・備考）</t>
        </is>
      </c>
    </row>
    <row r="16" ht="16.5" customHeight="1" s="25">
      <c r="B16" s="28" t="inlineStr">
        <is>
          <t>結果</t>
        </is>
      </c>
      <c r="C16" s="29" t="inlineStr">
        <is>
          <t>OK / NG / 対象外 から選択（入力規則あり）</t>
        </is>
      </c>
    </row>
    <row r="18" ht="15.75" customHeight="1" s="25">
      <c r="B18" s="31" t="inlineStr">
        <is>
          <t>件数集計</t>
        </is>
      </c>
    </row>
    <row r="19" ht="15" customHeight="1" s="25">
      <c r="B19" s="32" t="inlineStr">
        <is>
          <t>シート</t>
        </is>
      </c>
      <c r="C19" s="32" t="inlineStr">
        <is>
          <t>総数</t>
        </is>
      </c>
      <c r="D19" s="32" t="inlineStr">
        <is>
          <t>実装済</t>
        </is>
      </c>
      <c r="E19" s="32" t="inlineStr">
        <is>
          <t>未実装</t>
        </is>
      </c>
      <c r="F19" s="33" t="inlineStr">
        <is>
          <t>OK</t>
        </is>
      </c>
      <c r="G19" s="33" t="inlineStr">
        <is>
          <t>NG</t>
        </is>
      </c>
    </row>
    <row r="20" ht="15" customHeight="1" s="25">
      <c r="B20" s="34" t="inlineStr">
        <is>
          <t>共通_ヘッダー</t>
        </is>
      </c>
      <c r="C20" s="35">
        <f>COUNTA(共通_ヘッダー!$A$2:$A$500)</f>
        <v/>
      </c>
      <c r="D20" s="35">
        <f>COUNTIF(共通_ヘッダー!$H$2:$H$500,"実装済")</f>
        <v/>
      </c>
      <c r="E20" s="35">
        <f>COUNTIF(共通_ヘッダー!$H$2:$H$500,"未実装")</f>
        <v/>
      </c>
      <c r="F20" s="35">
        <f>COUNTIF(共通_ヘッダー!$J$2:$J$500,"OK")</f>
        <v/>
      </c>
      <c r="G20" s="35">
        <f>COUNTIF(共通_ヘッダー!$J$2:$J$500,"NG")</f>
        <v/>
      </c>
    </row>
    <row r="21" ht="15" customHeight="1" s="25">
      <c r="B21" s="34" t="inlineStr">
        <is>
          <t>共通_認証セッション</t>
        </is>
      </c>
      <c r="C21" s="35">
        <f>COUNTA(共通_認証セッション!$A$2:$A$500)</f>
        <v/>
      </c>
      <c r="D21" s="35">
        <f>COUNTIF(共通_認証セッション!$H$2:$H$500,"実装済")</f>
        <v/>
      </c>
      <c r="E21" s="35">
        <f>COUNTIF(共通_認証セッション!$H$2:$H$500,"未実装")</f>
        <v/>
      </c>
      <c r="F21" s="35">
        <f>COUNTIF(共通_認証セッション!$J$2:$J$500,"OK")</f>
        <v/>
      </c>
      <c r="G21" s="35">
        <f>COUNTIF(共通_認証セッション!$J$2:$J$500,"NG")</f>
        <v/>
      </c>
    </row>
    <row r="22" ht="15" customHeight="1" s="25">
      <c r="B22" s="34" t="inlineStr">
        <is>
          <t>ログイン画面</t>
        </is>
      </c>
      <c r="C22" s="35">
        <f>COUNTA(ログイン画面!$A$2:$A$500)</f>
        <v/>
      </c>
      <c r="D22" s="35">
        <f>COUNTIF(ログイン画面!$H$2:$H$500,"実装済")</f>
        <v/>
      </c>
      <c r="E22" s="35">
        <f>COUNTIF(ログイン画面!$H$2:$H$500,"未実装")</f>
        <v/>
      </c>
      <c r="F22" s="35">
        <f>COUNTIF(ログイン画面!$J$2:$J$500,"OK")</f>
        <v/>
      </c>
      <c r="G22" s="35">
        <f>COUNTIF(ログイン画面!$J$2:$J$500,"NG")</f>
        <v/>
      </c>
    </row>
    <row r="23" ht="15" customHeight="1" s="25">
      <c r="B23" s="34" t="inlineStr">
        <is>
          <t>メニュー画面</t>
        </is>
      </c>
      <c r="C23" s="35">
        <f>COUNTA(メニュー画面!$A$2:$A$500)</f>
        <v/>
      </c>
      <c r="D23" s="35">
        <f>COUNTIF(メニュー画面!$H$2:$H$500,"実装済")</f>
        <v/>
      </c>
      <c r="E23" s="35">
        <f>COUNTIF(メニュー画面!$H$2:$H$500,"未実装")</f>
        <v/>
      </c>
      <c r="F23" s="35">
        <f>COUNTIF(メニュー画面!$J$2:$J$500,"OK")</f>
        <v/>
      </c>
      <c r="G23" s="35">
        <f>COUNTIF(メニュー画面!$J$2:$J$500,"NG")</f>
        <v/>
      </c>
    </row>
    <row r="24" ht="15" customHeight="1" s="25">
      <c r="B24" s="36" t="inlineStr">
        <is>
          <t>INVOICE取込画面</t>
        </is>
      </c>
      <c r="C24" s="35">
        <f>COUNTA(INVOICE取込画面!$A$2:$A$500)</f>
        <v/>
      </c>
      <c r="D24" s="35">
        <f>COUNTIF(INVOICE取込画面!$H$2:$H$500,"実装済")</f>
        <v/>
      </c>
      <c r="E24" s="35">
        <f>COUNTIF(INVOICE取込画面!$H$2:$H$500,"未実装")</f>
        <v/>
      </c>
      <c r="F24" s="35">
        <f>COUNTIF(INVOICE取込画面!$J$2:$J$500,"OK")</f>
        <v/>
      </c>
      <c r="G24" s="35">
        <f>COUNTIF(INVOICE取込画面!$J$2:$J$500,"NG")</f>
        <v/>
      </c>
    </row>
    <row r="25" ht="15" customHeight="1" s="25">
      <c r="B25" s="37" t="inlineStr">
        <is>
          <t>取込結果確認画面</t>
        </is>
      </c>
      <c r="C25" s="38">
        <f>COUNTA(取込結果確認画面!$A$2:$A$500)</f>
        <v/>
      </c>
      <c r="D25" s="38">
        <f>COUNTIF(取込結果確認画面!$H$2:$H$500,"実装済")</f>
        <v/>
      </c>
      <c r="E25" s="38">
        <f>COUNTIF(取込結果確認画面!$H$2:$H$500,"未実装")</f>
        <v/>
      </c>
      <c r="F25" s="38">
        <f>COUNTIF(取込結果確認画面!$J$2:$J$500,"OK")</f>
        <v/>
      </c>
      <c r="G25" s="38">
        <f>COUNTIF(取込結果確認画面!$J$2:$J$500,"NG")</f>
        <v/>
      </c>
    </row>
    <row r="26">
      <c r="B26" s="24" t="inlineStr">
        <is>
          <t>合計</t>
        </is>
      </c>
      <c r="C26" s="24">
        <f>SUM(C20:C25)</f>
        <v/>
      </c>
      <c r="D26" s="24">
        <f>SUM(D20:D25)</f>
        <v/>
      </c>
      <c r="E26" s="24">
        <f>SUM(E20:E25)</f>
        <v/>
      </c>
      <c r="F26" s="24">
        <f>SUM(F20:F25)</f>
        <v/>
      </c>
      <c r="G26" s="24">
        <f>SUM(G20:G25)</f>
        <v/>
      </c>
    </row>
    <row r="27" ht="15.75" customHeight="1" s="25">
      <c r="B27" s="31" t="n"/>
    </row>
    <row r="28" ht="15" customHeight="1" s="25">
      <c r="B28" s="32" t="n"/>
      <c r="C28" s="32" t="n"/>
      <c r="D28" s="32" t="n"/>
      <c r="E28" s="32" t="n"/>
      <c r="F28" s="32" t="n"/>
      <c r="G28" s="32" t="n"/>
    </row>
    <row r="29" ht="15" customHeight="1" s="25">
      <c r="B29" s="39" t="n"/>
      <c r="C29" s="39" t="n"/>
      <c r="D29" s="39" t="n"/>
      <c r="E29" s="39" t="n"/>
      <c r="F29" s="39" t="n"/>
      <c r="G29" s="39" t="n"/>
    </row>
    <row r="30" ht="15" customHeight="1" s="25">
      <c r="B30" s="39" t="n"/>
      <c r="C30" s="39" t="n"/>
      <c r="D30" s="39" t="n"/>
      <c r="E30" s="39" t="n"/>
      <c r="F30" s="39" t="n"/>
      <c r="G30" s="39" t="n"/>
    </row>
    <row r="31" ht="15" customHeight="1" s="25">
      <c r="B31" s="39" t="n"/>
      <c r="C31" s="39" t="n"/>
      <c r="D31" s="39" t="n"/>
      <c r="E31" s="39" t="n"/>
      <c r="F31" s="39" t="n"/>
      <c r="G31" s="39" t="n"/>
    </row>
    <row r="32" ht="15" customHeight="1" s="25">
      <c r="B32" s="39" t="n"/>
      <c r="C32" s="39" t="n"/>
      <c r="D32" s="39" t="n"/>
      <c r="E32" s="39" t="n"/>
      <c r="F32" s="39" t="n"/>
      <c r="G32" s="39" t="n"/>
    </row>
  </sheetData>
  <mergeCells count="10">
    <mergeCell ref="C7:G7"/>
    <mergeCell ref="C6:G6"/>
    <mergeCell ref="C10:G10"/>
    <mergeCell ref="C16:G16"/>
    <mergeCell ref="C15:G15"/>
    <mergeCell ref="C5:G5"/>
    <mergeCell ref="C14:G14"/>
    <mergeCell ref="C13:G13"/>
    <mergeCell ref="C8:G8"/>
    <mergeCell ref="C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24" min="1" max="1"/>
    <col width="14" customWidth="1" style="24" min="2" max="2"/>
    <col width="16" customWidth="1" style="24" min="3" max="3"/>
    <col width="34" customWidth="1" style="24" min="4" max="4"/>
    <col width="30" customWidth="1" style="24" min="5" max="5"/>
    <col width="40" customWidth="1" style="24" min="6" max="6"/>
    <col width="46" customWidth="1" style="24" min="7" max="7"/>
    <col width="9" customWidth="1" style="24" min="8" max="8"/>
    <col width="11" customWidth="1" style="24" min="9" max="9"/>
    <col width="8" customWidth="1" style="24" min="10" max="10"/>
    <col width="10" customWidth="1" style="24" min="11" max="11"/>
    <col width="24" customWidth="1" style="24" min="12" max="12"/>
  </cols>
  <sheetData>
    <row r="1" ht="15" customHeight="1" s="25">
      <c r="A1" s="40" t="inlineStr">
        <is>
          <t>No</t>
        </is>
      </c>
      <c r="B1" s="41" t="inlineStr">
        <is>
          <t>大分類</t>
        </is>
      </c>
      <c r="C1" s="41" t="inlineStr">
        <is>
          <t>中分類</t>
        </is>
      </c>
      <c r="D1" s="41" t="inlineStr">
        <is>
          <t>確認項目</t>
        </is>
      </c>
      <c r="E1" s="41" t="inlineStr">
        <is>
          <t>前提条件</t>
        </is>
      </c>
      <c r="F1" s="41" t="inlineStr">
        <is>
          <t>操作手順</t>
        </is>
      </c>
      <c r="G1" s="41" t="inlineStr">
        <is>
          <t>期待結果</t>
        </is>
      </c>
      <c r="H1" s="41" t="inlineStr">
        <is>
          <t>状態</t>
        </is>
      </c>
      <c r="I1" s="41" t="inlineStr">
        <is>
          <t>実施日</t>
        </is>
      </c>
      <c r="J1" s="41" t="inlineStr">
        <is>
          <t>結果</t>
        </is>
      </c>
      <c r="K1" s="41" t="inlineStr">
        <is>
          <t>確認者</t>
        </is>
      </c>
      <c r="L1" s="41" t="inlineStr">
        <is>
          <t>備考</t>
        </is>
      </c>
    </row>
    <row r="2" ht="29.25" customHeight="1" s="25">
      <c r="A2" s="42" t="n">
        <v>1</v>
      </c>
      <c r="B2" s="43" t="inlineStr">
        <is>
          <t>共通ヘッダー</t>
        </is>
      </c>
      <c r="C2" s="43" t="inlineStr">
        <is>
          <t>アイコン</t>
        </is>
      </c>
      <c r="D2" s="43" t="inlineStr">
        <is>
          <t>再読み込みアイコンで画面が再表示される</t>
        </is>
      </c>
      <c r="E2" s="43" t="inlineStr">
        <is>
          <t>任意の画面を表示している</t>
        </is>
      </c>
      <c r="F2" s="43" t="inlineStr">
        <is>
          <t>ヘッダー左端の再読み込みアイコンを押す</t>
        </is>
      </c>
      <c r="G2" s="43" t="inlineStr">
        <is>
          <t>同じ画面が再表示される。ブラウザの「フォーム再送信の確認」が出ない</t>
        </is>
      </c>
      <c r="H2" s="44" t="inlineStr">
        <is>
          <t>実装済</t>
        </is>
      </c>
      <c r="I2" s="45" t="n"/>
      <c r="J2" s="45" t="n"/>
      <c r="K2" s="45" t="n"/>
      <c r="L2" s="45" t="n"/>
    </row>
    <row r="3" ht="29.25" customHeight="1" s="25">
      <c r="A3" s="44" t="n">
        <v>2</v>
      </c>
      <c r="B3" s="43" t="inlineStr">
        <is>
          <t>共通ヘッダー</t>
        </is>
      </c>
      <c r="C3" s="43" t="inlineStr">
        <is>
          <t>アイコン</t>
        </is>
      </c>
      <c r="D3" s="43" t="inlineStr">
        <is>
          <t>マニュアル未設定時のメッセージ</t>
        </is>
      </c>
      <c r="E3" s="46" t="inlineStr">
        <is>
          <t>Web.config の Atom.ManualUrl が空</t>
        </is>
      </c>
      <c r="F3" s="43" t="inlineStr">
        <is>
          <t>マニュアルアイコンを押す</t>
        </is>
      </c>
      <c r="G3" s="43" t="inlineStr">
        <is>
          <t>「現在未実装です。」がメッセージ領域に表示される。画面は遷移しない</t>
        </is>
      </c>
      <c r="H3" s="44" t="inlineStr">
        <is>
          <t>実装済</t>
        </is>
      </c>
      <c r="I3" s="45" t="n"/>
      <c r="J3" s="45" t="n"/>
      <c r="K3" s="45" t="n"/>
      <c r="L3" s="45" t="n"/>
    </row>
    <row r="4" ht="29.25" customHeight="1" s="25">
      <c r="A4" s="44" t="n">
        <v>3</v>
      </c>
      <c r="B4" s="43" t="inlineStr">
        <is>
          <t>共通ヘッダー</t>
        </is>
      </c>
      <c r="C4" s="43" t="inlineStr">
        <is>
          <t>アイコン</t>
        </is>
      </c>
      <c r="D4" s="43" t="inlineStr">
        <is>
          <t>マニュアルの新しいタブ表示</t>
        </is>
      </c>
      <c r="E4" s="46" t="inlineStr">
        <is>
          <t>Atom.ManualUrl に URL を設定する</t>
        </is>
      </c>
      <c r="F4" s="43" t="inlineStr">
        <is>
          <t>マニュアルアイコンを押す</t>
        </is>
      </c>
      <c r="G4" s="43" t="inlineStr">
        <is>
          <t>設定した URL が新しいタブで開く。元の画面はそのまま残る</t>
        </is>
      </c>
      <c r="H4" s="44" t="inlineStr">
        <is>
          <t>実装済</t>
        </is>
      </c>
      <c r="I4" s="45" t="n"/>
      <c r="J4" s="45" t="n"/>
      <c r="K4" s="45" t="n"/>
      <c r="L4" s="45" t="n"/>
    </row>
    <row r="5" ht="29.25" customHeight="1" s="25">
      <c r="A5" s="44" t="n">
        <v>4</v>
      </c>
      <c r="B5" s="43" t="inlineStr">
        <is>
          <t>共通ヘッダー</t>
        </is>
      </c>
      <c r="C5" s="43" t="inlineStr">
        <is>
          <t>タイトル</t>
        </is>
      </c>
      <c r="D5" s="43" t="inlineStr">
        <is>
          <t>メニュー画面のタイトル表示</t>
        </is>
      </c>
      <c r="E5" s="43" t="inlineStr">
        <is>
          <t>ログイン済み</t>
        </is>
      </c>
      <c r="F5" s="43" t="inlineStr">
        <is>
          <t>メニュー画面を表示する</t>
        </is>
      </c>
      <c r="G5" s="43" t="inlineStr">
        <is>
          <t>「ATOM」「（ Arrangement of Tool Orders &amp; Materials System ）」「Ver.0.1.0」が表示される</t>
        </is>
      </c>
      <c r="H5" s="44" t="inlineStr">
        <is>
          <t>実装済</t>
        </is>
      </c>
      <c r="I5" s="45" t="n"/>
      <c r="J5" s="45" t="n"/>
      <c r="K5" s="45" t="n"/>
      <c r="L5" s="45" t="n"/>
    </row>
    <row r="6" ht="29.25" customHeight="1" s="25">
      <c r="A6" s="44" t="n">
        <v>5</v>
      </c>
      <c r="B6" s="43" t="inlineStr">
        <is>
          <t>共通ヘッダー</t>
        </is>
      </c>
      <c r="C6" s="43" t="inlineStr">
        <is>
          <t>タイトル</t>
        </is>
      </c>
      <c r="D6" s="43" t="inlineStr">
        <is>
          <t>業務画面のタイトル表示</t>
        </is>
      </c>
      <c r="E6" s="43" t="inlineStr">
        <is>
          <t>ログイン済み</t>
        </is>
      </c>
      <c r="F6" s="46" t="inlineStr">
        <is>
          <t>INVOICE/PACKING取込画面を開く</t>
        </is>
      </c>
      <c r="G6" s="46" t="inlineStr">
        <is>
          <t>AtomScreens.json の Title「INVOICE/PACKING取込み」が表示される。ATOM ロゴは表示されない</t>
        </is>
      </c>
      <c r="H6" s="44" t="inlineStr">
        <is>
          <t>実装済</t>
        </is>
      </c>
      <c r="I6" s="45" t="n"/>
      <c r="J6" s="45" t="n"/>
      <c r="K6" s="45" t="n"/>
      <c r="L6" s="45" t="n"/>
    </row>
    <row r="7" ht="43.5" customHeight="1" s="25">
      <c r="A7" s="44" t="n">
        <v>6</v>
      </c>
      <c r="B7" s="43" t="inlineStr">
        <is>
          <t>共通ヘッダー</t>
        </is>
      </c>
      <c r="C7" s="43" t="inlineStr">
        <is>
          <t>タイトル</t>
        </is>
      </c>
      <c r="D7" s="43" t="inlineStr">
        <is>
          <t>バージョンの設定反映</t>
        </is>
      </c>
      <c r="E7" s="46" t="inlineStr">
        <is>
          <t>Web.config の Atom.SystemVersion を 0.2.0 に変更する</t>
        </is>
      </c>
      <c r="F7" s="43" t="inlineStr">
        <is>
          <t>メニュー画面を再表示する</t>
        </is>
      </c>
      <c r="G7" s="43" t="inlineStr">
        <is>
          <t>「Ver.0.2.0」と表示される</t>
        </is>
      </c>
      <c r="H7" s="44" t="inlineStr">
        <is>
          <t>実装済</t>
        </is>
      </c>
      <c r="I7" s="45" t="n"/>
      <c r="J7" s="45" t="n"/>
      <c r="K7" s="45" t="n"/>
      <c r="L7" s="45" t="n"/>
    </row>
    <row r="8" ht="29.25" customHeight="1" s="25">
      <c r="A8" s="44" t="n">
        <v>7</v>
      </c>
      <c r="B8" s="43" t="inlineStr">
        <is>
          <t>共通ヘッダー</t>
        </is>
      </c>
      <c r="C8" s="43" t="inlineStr">
        <is>
          <t>配色</t>
        </is>
      </c>
      <c r="D8" s="43" t="inlineStr">
        <is>
          <t>既定の背景色</t>
        </is>
      </c>
      <c r="E8" s="46" t="inlineStr">
        <is>
          <t>AtomScreens.json の HeaderBackColor が空</t>
        </is>
      </c>
      <c r="F8" s="43" t="inlineStr">
        <is>
          <t>任意の画面を表示する</t>
        </is>
      </c>
      <c r="G8" s="43" t="inlineStr">
        <is>
          <t>ヘッダー背景が DefaultHeaderBackColor（#400080）になる</t>
        </is>
      </c>
      <c r="H8" s="44" t="inlineStr">
        <is>
          <t>実装済</t>
        </is>
      </c>
      <c r="I8" s="45" t="n"/>
      <c r="J8" s="45" t="n"/>
      <c r="K8" s="45" t="n"/>
      <c r="L8" s="45" t="n"/>
    </row>
    <row r="9" ht="43.5" customHeight="1" s="25">
      <c r="A9" s="44" t="n">
        <v>8</v>
      </c>
      <c r="B9" s="43" t="inlineStr">
        <is>
          <t>共通ヘッダー</t>
        </is>
      </c>
      <c r="C9" s="43" t="inlineStr">
        <is>
          <t>配色</t>
        </is>
      </c>
      <c r="D9" s="43" t="inlineStr">
        <is>
          <t>画面ごとの背景色</t>
        </is>
      </c>
      <c r="E9" s="46" t="inlineStr">
        <is>
          <t>menuNo=101 の HeaderBackColor に #1F4E79 を設定する</t>
        </is>
      </c>
      <c r="F9" s="43" t="inlineStr">
        <is>
          <t>取込画面を再表示する</t>
        </is>
      </c>
      <c r="G9" s="43" t="inlineStr">
        <is>
          <t>その画面のヘッダーだけ #1F4E79 になる。再ビルドは不要</t>
        </is>
      </c>
      <c r="H9" s="44" t="inlineStr">
        <is>
          <t>実装済</t>
        </is>
      </c>
      <c r="I9" s="45" t="n"/>
      <c r="J9" s="45" t="n"/>
      <c r="K9" s="45" t="n"/>
      <c r="L9" s="45" t="n"/>
    </row>
    <row r="10" ht="29.25" customHeight="1" s="25">
      <c r="A10" s="44" t="n">
        <v>9</v>
      </c>
      <c r="B10" s="43" t="inlineStr">
        <is>
          <t>共通ヘッダー</t>
        </is>
      </c>
      <c r="C10" s="43" t="inlineStr">
        <is>
          <t>配色</t>
        </is>
      </c>
      <c r="D10" s="43" t="inlineStr">
        <is>
          <t>不正な色指定の扱い</t>
        </is>
      </c>
      <c r="E10" s="46" t="inlineStr">
        <is>
          <t>HeaderBackColor に「red」など #RRGGBB 以外を設定する</t>
        </is>
      </c>
      <c r="F10" s="43" t="inlineStr">
        <is>
          <t>画面を再表示する</t>
        </is>
      </c>
      <c r="G10" s="43" t="inlineStr">
        <is>
          <t>既定色（#400080）で表示される。画面は落ちない</t>
        </is>
      </c>
      <c r="H10" s="44" t="inlineStr">
        <is>
          <t>実装済</t>
        </is>
      </c>
      <c r="I10" s="45" t="n"/>
      <c r="J10" s="45" t="n"/>
      <c r="K10" s="45" t="n"/>
      <c r="L10" s="45" t="n"/>
    </row>
    <row r="11" ht="29.25" customHeight="1" s="25">
      <c r="A11" s="44" t="n">
        <v>10</v>
      </c>
      <c r="B11" s="43" t="inlineStr">
        <is>
          <t>共通ヘッダー</t>
        </is>
      </c>
      <c r="C11" s="43" t="inlineStr">
        <is>
          <t>利用者表示</t>
        </is>
      </c>
      <c r="D11" s="43" t="inlineStr">
        <is>
          <t>氏名の表示</t>
        </is>
      </c>
      <c r="E11" s="43" t="inlineStr">
        <is>
          <t>社員名「山田 太郎」でログイン済み</t>
        </is>
      </c>
      <c r="F11" s="43" t="inlineStr">
        <is>
          <t>任意の画面を表示する</t>
        </is>
      </c>
      <c r="G11" s="43" t="inlineStr">
        <is>
          <t>ヘッダー右端に「山田 太郎」が表示される。「使用者」の接頭辞は付かない</t>
        </is>
      </c>
      <c r="H11" s="44" t="inlineStr">
        <is>
          <t>実装済</t>
        </is>
      </c>
      <c r="I11" s="45" t="n"/>
      <c r="J11" s="45" t="n"/>
      <c r="K11" s="45" t="n"/>
      <c r="L11" s="45" t="n"/>
    </row>
    <row r="12" ht="15" customHeight="1" s="25">
      <c r="A12" s="44" t="n">
        <v>11</v>
      </c>
      <c r="B12" s="43" t="inlineStr">
        <is>
          <t>共通ヘッダー</t>
        </is>
      </c>
      <c r="C12" s="43" t="inlineStr">
        <is>
          <t>利用者表示</t>
        </is>
      </c>
      <c r="D12" s="43" t="inlineStr">
        <is>
          <t>未ログイン時は非表示</t>
        </is>
      </c>
      <c r="E12" s="43" t="inlineStr">
        <is>
          <t>未ログイン</t>
        </is>
      </c>
      <c r="F12" s="43" t="inlineStr">
        <is>
          <t>ログイン画面を表示する</t>
        </is>
      </c>
      <c r="G12" s="43" t="inlineStr">
        <is>
          <t>利用者名の枠ごと表示されない</t>
        </is>
      </c>
      <c r="H12" s="44" t="inlineStr">
        <is>
          <t>実装済</t>
        </is>
      </c>
      <c r="I12" s="45" t="n"/>
      <c r="J12" s="45" t="n"/>
      <c r="K12" s="45" t="n"/>
      <c r="L12" s="45" t="n"/>
    </row>
    <row r="13" ht="29.25" customHeight="1" s="25">
      <c r="A13" s="44" t="n">
        <v>12</v>
      </c>
      <c r="B13" s="43" t="inlineStr">
        <is>
          <t>共通ヘッダー</t>
        </is>
      </c>
      <c r="C13" s="43" t="inlineStr">
        <is>
          <t>画面固有ボタン</t>
        </is>
      </c>
      <c r="D13" s="43" t="inlineStr">
        <is>
          <t>取込画面のボタン構成</t>
        </is>
      </c>
      <c r="E13" s="43" t="inlineStr">
        <is>
          <t>ログイン済み</t>
        </is>
      </c>
      <c r="F13" s="46" t="inlineStr">
        <is>
          <t>INVOICE/PACKING取込画面を開く</t>
        </is>
      </c>
      <c r="G13" s="43" t="inlineStr">
        <is>
          <t>ヘッダー右側に「INVヘッダ」「INV確認」「MENUへ」が左から順に並ぶ</t>
        </is>
      </c>
      <c r="H13" s="44" t="inlineStr">
        <is>
          <t>実装済</t>
        </is>
      </c>
      <c r="I13" s="45" t="n"/>
      <c r="J13" s="45" t="n"/>
      <c r="K13" s="45" t="n"/>
      <c r="L13" s="45" t="n"/>
    </row>
    <row r="14" ht="15" customHeight="1" s="25">
      <c r="A14" s="44" t="n">
        <v>13</v>
      </c>
      <c r="B14" s="43" t="inlineStr">
        <is>
          <t>共通ヘッダー</t>
        </is>
      </c>
      <c r="C14" s="43" t="inlineStr">
        <is>
          <t>画面固有ボタン</t>
        </is>
      </c>
      <c r="D14" s="46" t="inlineStr">
        <is>
          <t>MENUへの遷移</t>
        </is>
      </c>
      <c r="E14" s="43" t="inlineStr">
        <is>
          <t>取込画面を表示している</t>
        </is>
      </c>
      <c r="F14" s="43" t="inlineStr">
        <is>
          <t>「MENUへ」を押す</t>
        </is>
      </c>
      <c r="G14" s="43" t="inlineStr">
        <is>
          <t>メニュー画面へ遷移する</t>
        </is>
      </c>
      <c r="H14" s="44" t="inlineStr">
        <is>
          <t>実装済</t>
        </is>
      </c>
      <c r="I14" s="45" t="n"/>
      <c r="J14" s="45" t="n"/>
      <c r="K14" s="45" t="n"/>
      <c r="L14" s="45" t="n"/>
    </row>
    <row r="15" ht="15" customHeight="1" s="25">
      <c r="A15" s="44" t="n">
        <v>14</v>
      </c>
      <c r="B15" s="43" t="inlineStr">
        <is>
          <t>共通ヘッダー</t>
        </is>
      </c>
      <c r="C15" s="43" t="inlineStr">
        <is>
          <t>画面固有ボタン</t>
        </is>
      </c>
      <c r="D15" s="43" t="inlineStr">
        <is>
          <t>未実装画面への遷移</t>
        </is>
      </c>
      <c r="E15" s="43" t="inlineStr">
        <is>
          <t>取込画面を表示している</t>
        </is>
      </c>
      <c r="F15" s="43" t="inlineStr">
        <is>
          <t>「INVヘッダ」または「INV確認」を押す</t>
        </is>
      </c>
      <c r="G15" s="43" t="inlineStr">
        <is>
          <t>「現在未実装です。」が表示され、取込画面に留まる</t>
        </is>
      </c>
      <c r="H15" s="44" t="inlineStr">
        <is>
          <t>実装済</t>
        </is>
      </c>
      <c r="I15" s="45" t="n"/>
      <c r="J15" s="45" t="n"/>
      <c r="K15" s="45" t="n"/>
      <c r="L15" s="45" t="n"/>
    </row>
    <row r="16" ht="15" customHeight="1" s="25">
      <c r="A16" s="44" t="n">
        <v>15</v>
      </c>
      <c r="B16" s="43" t="inlineStr">
        <is>
          <t>共通ヘッダー</t>
        </is>
      </c>
      <c r="C16" s="43" t="inlineStr">
        <is>
          <t>画面固有ボタン</t>
        </is>
      </c>
      <c r="D16" s="43" t="inlineStr">
        <is>
          <t>ボタンが無い画面</t>
        </is>
      </c>
      <c r="E16" s="43" t="inlineStr">
        <is>
          <t>ログイン済み</t>
        </is>
      </c>
      <c r="F16" s="43" t="inlineStr">
        <is>
          <t>メニュー画面を表示する</t>
        </is>
      </c>
      <c r="G16" s="43" t="inlineStr">
        <is>
          <t>画面固有ボタンは1つも表示されない</t>
        </is>
      </c>
      <c r="H16" s="44" t="inlineStr">
        <is>
          <t>実装済</t>
        </is>
      </c>
      <c r="I16" s="45" t="n"/>
      <c r="J16" s="45" t="n"/>
      <c r="K16" s="45" t="n"/>
      <c r="L16" s="45" t="n"/>
    </row>
    <row r="17" ht="15" customHeight="1" s="25">
      <c r="A17" s="44" t="n">
        <v>16</v>
      </c>
      <c r="B17" s="43" t="inlineStr">
        <is>
          <t>共通ヘッダー</t>
        </is>
      </c>
      <c r="C17" s="43" t="inlineStr">
        <is>
          <t>表示</t>
        </is>
      </c>
      <c r="D17" s="43" t="inlineStr">
        <is>
          <t>スクロール時の固定</t>
        </is>
      </c>
      <c r="E17" s="43" t="inlineStr">
        <is>
          <t>内容が縦に長い画面</t>
        </is>
      </c>
      <c r="F17" s="43" t="inlineStr">
        <is>
          <t>画面を下へスクロールする</t>
        </is>
      </c>
      <c r="G17" s="43" t="inlineStr">
        <is>
          <t>ヘッダーが画面上部に固定されたまま表示される</t>
        </is>
      </c>
      <c r="H17" s="44" t="inlineStr">
        <is>
          <t>実装済</t>
        </is>
      </c>
      <c r="I17" s="45" t="n"/>
      <c r="J17" s="45" t="n"/>
      <c r="K17" s="45" t="n"/>
      <c r="L17" s="45" t="n"/>
    </row>
    <row r="18" ht="29.25" customHeight="1" s="25">
      <c r="A18" s="44" t="n">
        <v>17</v>
      </c>
      <c r="B18" s="43" t="inlineStr">
        <is>
          <t>共通ヘッダー</t>
        </is>
      </c>
      <c r="C18" s="43" t="inlineStr">
        <is>
          <t>表示</t>
        </is>
      </c>
      <c r="D18" s="43" t="inlineStr">
        <is>
          <t>画面幅を狭めたときの表示</t>
        </is>
      </c>
      <c r="E18" s="43" t="inlineStr">
        <is>
          <t>ブラウザ幅を 800px 程度にする</t>
        </is>
      </c>
      <c r="F18" s="43" t="inlineStr">
        <is>
          <t>画面を表示する</t>
        </is>
      </c>
      <c r="G18" s="43" t="inlineStr">
        <is>
          <t>利用者名がヘッダーの外へはみ出さない。タイトルは省略記号で切られる</t>
        </is>
      </c>
      <c r="H18" s="44" t="inlineStr">
        <is>
          <t>実装済</t>
        </is>
      </c>
      <c r="I18" s="45" t="n"/>
      <c r="J18" s="45" t="n"/>
      <c r="K18" s="45" t="n"/>
      <c r="L18" s="45" t="n"/>
    </row>
    <row r="19" ht="29.25" customHeight="1" s="25">
      <c r="A19" s="44" t="n">
        <v>18</v>
      </c>
      <c r="B19" s="43" t="inlineStr">
        <is>
          <t>共通ヘッダー</t>
        </is>
      </c>
      <c r="C19" s="43" t="inlineStr">
        <is>
          <t>セキュリティ</t>
        </is>
      </c>
      <c r="D19" s="43" t="inlineStr">
        <is>
          <t>利用者名のエスケープ</t>
        </is>
      </c>
      <c r="E19" s="43" t="inlineStr">
        <is>
          <t>社員名に「&lt;b&gt;test&lt;/b&gt;」が登録されている</t>
        </is>
      </c>
      <c r="F19" s="43" t="inlineStr">
        <is>
          <t>ログインして画面を表示する</t>
        </is>
      </c>
      <c r="G19" s="43" t="inlineStr">
        <is>
          <t>タグが解釈されず、文字列としてそのまま表示される</t>
        </is>
      </c>
      <c r="H19" s="44" t="inlineStr">
        <is>
          <t>実装済</t>
        </is>
      </c>
      <c r="I19" s="45" t="n"/>
      <c r="J19" s="45" t="n"/>
      <c r="K19" s="45" t="n"/>
      <c r="L19" s="45" t="n"/>
    </row>
  </sheetData>
  <autoFilter ref="A1:L19"/>
  <dataValidations count="1">
    <dataValidation sqref="J2:J19" showDropDown="0" showInputMessage="0" showErrorMessage="0" allowBlank="1" type="list" errorStyle="stop" operator="between">
      <formula1>"OK,NG,対象外"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24" min="1" max="1"/>
    <col width="14" customWidth="1" style="24" min="2" max="2"/>
    <col width="16" customWidth="1" style="24" min="3" max="3"/>
    <col width="34" customWidth="1" style="24" min="4" max="4"/>
    <col width="30" customWidth="1" style="24" min="5" max="5"/>
    <col width="40" customWidth="1" style="24" min="6" max="6"/>
    <col width="46" customWidth="1" style="24" min="7" max="7"/>
    <col width="9" customWidth="1" style="24" min="8" max="8"/>
    <col width="11" customWidth="1" style="24" min="9" max="9"/>
    <col width="8" customWidth="1" style="24" min="10" max="10"/>
    <col width="10" customWidth="1" style="24" min="11" max="11"/>
    <col width="24" customWidth="1" style="24" min="12" max="12"/>
  </cols>
  <sheetData>
    <row r="1" ht="15" customHeight="1" s="25">
      <c r="A1" s="40" t="inlineStr">
        <is>
          <t>No</t>
        </is>
      </c>
      <c r="B1" s="41" t="inlineStr">
        <is>
          <t>大分類</t>
        </is>
      </c>
      <c r="C1" s="41" t="inlineStr">
        <is>
          <t>中分類</t>
        </is>
      </c>
      <c r="D1" s="41" t="inlineStr">
        <is>
          <t>確認項目</t>
        </is>
      </c>
      <c r="E1" s="41" t="inlineStr">
        <is>
          <t>前提条件</t>
        </is>
      </c>
      <c r="F1" s="41" t="inlineStr">
        <is>
          <t>操作手順</t>
        </is>
      </c>
      <c r="G1" s="41" t="inlineStr">
        <is>
          <t>期待結果</t>
        </is>
      </c>
      <c r="H1" s="41" t="inlineStr">
        <is>
          <t>状態</t>
        </is>
      </c>
      <c r="I1" s="41" t="inlineStr">
        <is>
          <t>実施日</t>
        </is>
      </c>
      <c r="J1" s="41" t="inlineStr">
        <is>
          <t>結果</t>
        </is>
      </c>
      <c r="K1" s="41" t="inlineStr">
        <is>
          <t>確認者</t>
        </is>
      </c>
      <c r="L1" s="41" t="inlineStr">
        <is>
          <t>備考</t>
        </is>
      </c>
    </row>
    <row r="2" ht="29.25" customHeight="1" s="25">
      <c r="A2" s="44" t="n">
        <v>1</v>
      </c>
      <c r="B2" s="43" t="inlineStr">
        <is>
          <t>認証</t>
        </is>
      </c>
      <c r="C2" s="43" t="inlineStr">
        <is>
          <t>直接アクセス</t>
        </is>
      </c>
      <c r="D2" s="43" t="inlineStr">
        <is>
          <t>未ログインでメニュー画面へ直接アクセス</t>
        </is>
      </c>
      <c r="E2" s="43" t="inlineStr">
        <is>
          <t>未ログイン</t>
        </is>
      </c>
      <c r="F2" s="43" t="inlineStr">
        <is>
          <t>ブラウザで /Default.aspx を開く</t>
        </is>
      </c>
      <c r="G2" s="43" t="inlineStr">
        <is>
          <t>ログイン画面へリダイレクトされる。URL に ReturnUrl が付く</t>
        </is>
      </c>
      <c r="H2" s="44" t="inlineStr">
        <is>
          <t>実装済</t>
        </is>
      </c>
      <c r="I2" s="45" t="n"/>
      <c r="J2" s="45" t="n"/>
      <c r="K2" s="45" t="n"/>
      <c r="L2" s="45" t="n"/>
    </row>
    <row r="3" ht="29.25" customHeight="1" s="25">
      <c r="A3" s="44" t="n">
        <v>2</v>
      </c>
      <c r="B3" s="43" t="inlineStr">
        <is>
          <t>認証</t>
        </is>
      </c>
      <c r="C3" s="43" t="inlineStr">
        <is>
          <t>直接アクセス</t>
        </is>
      </c>
      <c r="D3" s="43" t="inlineStr">
        <is>
          <t>未ログインで業務画面へ直接アクセス</t>
        </is>
      </c>
      <c r="E3" s="43" t="inlineStr">
        <is>
          <t>未ログイン</t>
        </is>
      </c>
      <c r="F3" s="43" t="inlineStr">
        <is>
          <t>ブラウザで /Pages/Entry/InvoiceImport.aspx を開く</t>
        </is>
      </c>
      <c r="G3" s="43" t="inlineStr">
        <is>
          <t>ログイン画面へリダイレクトされる</t>
        </is>
      </c>
      <c r="H3" s="44" t="inlineStr">
        <is>
          <t>実装済</t>
        </is>
      </c>
      <c r="I3" s="45" t="n"/>
      <c r="J3" s="45" t="n"/>
      <c r="K3" s="45" t="n"/>
      <c r="L3" s="45" t="n"/>
    </row>
    <row r="4" ht="15" customHeight="1" s="25">
      <c r="A4" s="44" t="n">
        <v>3</v>
      </c>
      <c r="B4" s="43" t="inlineStr">
        <is>
          <t>認証</t>
        </is>
      </c>
      <c r="C4" s="43" t="inlineStr">
        <is>
          <t>直接アクセス</t>
        </is>
      </c>
      <c r="D4" s="43" t="inlineStr">
        <is>
          <t>ログイン後に元の画面へ戻る</t>
        </is>
      </c>
      <c r="E4" s="43" t="inlineStr">
        <is>
          <t>上記の状態</t>
        </is>
      </c>
      <c r="F4" s="43" t="inlineStr">
        <is>
          <t>社員コードを入力してログインする</t>
        </is>
      </c>
      <c r="G4" s="43" t="inlineStr">
        <is>
          <t>取込画面が表示される</t>
        </is>
      </c>
      <c r="H4" s="44" t="inlineStr">
        <is>
          <t>実装済</t>
        </is>
      </c>
      <c r="I4" s="45" t="n"/>
      <c r="J4" s="45" t="n"/>
      <c r="K4" s="45" t="n"/>
      <c r="L4" s="45" t="n"/>
    </row>
    <row r="5" ht="26.25" customHeight="1" s="25">
      <c r="A5" s="44" t="n">
        <v>4</v>
      </c>
      <c r="B5" s="43" t="inlineStr">
        <is>
          <t>認証</t>
        </is>
      </c>
      <c r="C5" s="43" t="inlineStr">
        <is>
          <t>直接アクセス</t>
        </is>
      </c>
      <c r="D5" s="43" t="inlineStr">
        <is>
          <t>外部サイトへの誘導を防ぐ（//）</t>
        </is>
      </c>
      <c r="E5" s="43" t="inlineStr">
        <is>
          <t>未ログイン</t>
        </is>
      </c>
      <c r="F5" s="46" t="inlineStr">
        <is>
          <t>/Pages/Common/Login.aspx?ReturnUrl=//example.com を開きログインする</t>
        </is>
      </c>
      <c r="G5" s="43" t="inlineStr">
        <is>
          <t>外部サイトへ遷移せず、メニュー画面が表示される</t>
        </is>
      </c>
      <c r="H5" s="44" t="inlineStr">
        <is>
          <t>実装済</t>
        </is>
      </c>
      <c r="I5" s="45" t="n"/>
      <c r="J5" s="45" t="n"/>
      <c r="K5" s="45" t="n"/>
      <c r="L5" s="45" t="n"/>
    </row>
    <row r="6" ht="15" customHeight="1" s="25">
      <c r="A6" s="44" t="n">
        <v>5</v>
      </c>
      <c r="B6" s="43" t="inlineStr">
        <is>
          <t>認証</t>
        </is>
      </c>
      <c r="C6" s="43" t="inlineStr">
        <is>
          <t>直接アクセス</t>
        </is>
      </c>
      <c r="D6" s="43" t="inlineStr">
        <is>
          <t>外部サイトへの誘導を防ぐ（/\）</t>
        </is>
      </c>
      <c r="E6" s="43" t="inlineStr">
        <is>
          <t>未ログイン</t>
        </is>
      </c>
      <c r="F6" s="46" t="inlineStr">
        <is>
          <t>ReturnUrl=/\example.com でログインする</t>
        </is>
      </c>
      <c r="G6" s="43" t="inlineStr">
        <is>
          <t>外部サイトへ遷移せず、メニュー画面が表示される</t>
        </is>
      </c>
      <c r="H6" s="44" t="inlineStr">
        <is>
          <t>実装済</t>
        </is>
      </c>
      <c r="I6" s="45" t="n"/>
      <c r="J6" s="45" t="n"/>
      <c r="K6" s="45" t="n"/>
      <c r="L6" s="45" t="n"/>
    </row>
    <row r="7" ht="29.25" customHeight="1" s="25">
      <c r="A7" s="44" t="n">
        <v>6</v>
      </c>
      <c r="B7" s="43" t="inlineStr">
        <is>
          <t>認証</t>
        </is>
      </c>
      <c r="C7" s="43" t="inlineStr">
        <is>
          <t>直接アクセス</t>
        </is>
      </c>
      <c r="D7" s="43" t="inlineStr">
        <is>
          <t>外部サイトへの誘導を防ぐ（絶対URL）</t>
        </is>
      </c>
      <c r="E7" s="43" t="inlineStr">
        <is>
          <t>未ログイン</t>
        </is>
      </c>
      <c r="F7" s="46" t="inlineStr">
        <is>
          <t>ReturnUrl=http://example.com でログインする</t>
        </is>
      </c>
      <c r="G7" s="43" t="inlineStr">
        <is>
          <t>外部サイトへ遷移せず、メニュー画面が表示される</t>
        </is>
      </c>
      <c r="H7" s="44" t="inlineStr">
        <is>
          <t>実装済</t>
        </is>
      </c>
      <c r="I7" s="45" t="n"/>
      <c r="J7" s="45" t="n"/>
      <c r="K7" s="45" t="n"/>
      <c r="L7" s="45" t="n"/>
    </row>
    <row r="8" ht="15" customHeight="1" s="25">
      <c r="A8" s="44" t="n">
        <v>7</v>
      </c>
      <c r="B8" s="43" t="inlineStr">
        <is>
          <t>認証</t>
        </is>
      </c>
      <c r="C8" s="43" t="inlineStr">
        <is>
          <t>ログイン状態</t>
        </is>
      </c>
      <c r="D8" s="43" t="inlineStr">
        <is>
          <t>ログイン済みでログイン画面を開く</t>
        </is>
      </c>
      <c r="E8" s="43" t="inlineStr">
        <is>
          <t>ログイン済み</t>
        </is>
      </c>
      <c r="F8" s="46" t="inlineStr">
        <is>
          <t>/Pages/Common/Login.aspx を開く</t>
        </is>
      </c>
      <c r="G8" s="43" t="inlineStr">
        <is>
          <t>メニュー画面へリダイレクトされる</t>
        </is>
      </c>
      <c r="H8" s="44" t="inlineStr">
        <is>
          <t>実装済</t>
        </is>
      </c>
      <c r="I8" s="45" t="n"/>
      <c r="J8" s="45" t="n"/>
      <c r="K8" s="45" t="n"/>
      <c r="L8" s="45" t="n"/>
    </row>
    <row r="9" ht="29.25" customHeight="1" s="25">
      <c r="A9" s="44" t="n">
        <v>8</v>
      </c>
      <c r="B9" s="43" t="inlineStr">
        <is>
          <t>認証</t>
        </is>
      </c>
      <c r="C9" s="43" t="inlineStr">
        <is>
          <t>セッション</t>
        </is>
      </c>
      <c r="D9" s="43" t="inlineStr">
        <is>
          <t>タイムアウト後の操作</t>
        </is>
      </c>
      <c r="E9" s="43" t="inlineStr">
        <is>
          <t>ログイン後 60 分以上操作しない</t>
        </is>
      </c>
      <c r="F9" s="43" t="inlineStr">
        <is>
          <t>画面上のボタンを押す</t>
        </is>
      </c>
      <c r="G9" s="43" t="inlineStr">
        <is>
          <t>ログイン画面が表示される。入力内容は保持しない（方針どおり）</t>
        </is>
      </c>
      <c r="H9" s="44" t="inlineStr">
        <is>
          <t>実装済</t>
        </is>
      </c>
      <c r="I9" s="45" t="n"/>
      <c r="J9" s="45" t="n"/>
      <c r="K9" s="45" t="n"/>
      <c r="L9" s="45" t="n"/>
    </row>
    <row r="10" ht="29.25" customHeight="1" s="25">
      <c r="A10" s="44" t="n">
        <v>9</v>
      </c>
      <c r="B10" s="43" t="inlineStr">
        <is>
          <t>認証</t>
        </is>
      </c>
      <c r="C10" s="43" t="inlineStr">
        <is>
          <t>セッション</t>
        </is>
      </c>
      <c r="D10" s="43" t="inlineStr">
        <is>
          <t>ログアウト後のブラウザバック</t>
        </is>
      </c>
      <c r="E10" s="43" t="inlineStr">
        <is>
          <t>ログアウト済み</t>
        </is>
      </c>
      <c r="F10" s="43" t="inlineStr">
        <is>
          <t>ブラウザの戻るでメニュー画面を表示し、ボタンを押す</t>
        </is>
      </c>
      <c r="G10" s="43" t="inlineStr">
        <is>
          <t>ログイン画面へ遷移する。業務処理は実行されない</t>
        </is>
      </c>
      <c r="H10" s="44" t="inlineStr">
        <is>
          <t>実装済</t>
        </is>
      </c>
      <c r="I10" s="45" t="n"/>
      <c r="J10" s="45" t="n"/>
      <c r="K10" s="45" t="n"/>
      <c r="L10" s="45" t="n"/>
    </row>
    <row r="11" ht="29.25" customHeight="1" s="25">
      <c r="A11" s="44" t="n">
        <v>10</v>
      </c>
      <c r="B11" s="43" t="inlineStr">
        <is>
          <t>認証</t>
        </is>
      </c>
      <c r="C11" s="43" t="inlineStr">
        <is>
          <t>セッション</t>
        </is>
      </c>
      <c r="D11" s="43" t="inlineStr">
        <is>
          <t>アプリ再起動後のログイン状態</t>
        </is>
      </c>
      <c r="E11" s="43" t="inlineStr">
        <is>
          <t>ログイン済み。IIS のアプリケーションプールをリサイクルする</t>
        </is>
      </c>
      <c r="F11" s="43" t="inlineStr">
        <is>
          <t>画面を再読み込みする</t>
        </is>
      </c>
      <c r="G11" s="43" t="inlineStr">
        <is>
          <t>ログイン画面へ戻る（sessionState は InProc のため。仕様どおり）</t>
        </is>
      </c>
      <c r="H11" s="44" t="inlineStr">
        <is>
          <t>実装済</t>
        </is>
      </c>
      <c r="I11" s="45" t="n"/>
      <c r="J11" s="45" t="n"/>
      <c r="K11" s="45" t="n"/>
      <c r="L11" s="45" t="n"/>
    </row>
    <row r="12" ht="29.25" customHeight="1" s="25">
      <c r="A12" s="44" t="n">
        <v>11</v>
      </c>
      <c r="B12" s="43" t="inlineStr">
        <is>
          <t>認証</t>
        </is>
      </c>
      <c r="C12" s="46" t="inlineStr">
        <is>
          <t>CSRF</t>
        </is>
      </c>
      <c r="D12" s="46" t="inlineStr">
        <is>
          <t>ViewState の改ざん検知</t>
        </is>
      </c>
      <c r="E12" s="43" t="inlineStr">
        <is>
          <t>ログイン済み</t>
        </is>
      </c>
      <c r="F12" s="43" t="inlineStr">
        <is>
          <t>画面の __VIEWSTATE を書き換えてポストバックする</t>
        </is>
      </c>
      <c r="G12" s="43" t="inlineStr">
        <is>
          <t>エラーとなり処理は実行されない。画面に例外の詳細は表示されない</t>
        </is>
      </c>
      <c r="H12" s="44" t="inlineStr">
        <is>
          <t>実装済</t>
        </is>
      </c>
      <c r="I12" s="45" t="n"/>
      <c r="J12" s="45" t="n"/>
      <c r="K12" s="45" t="n"/>
      <c r="L12" s="45" t="n"/>
    </row>
    <row r="13" ht="15" customHeight="1" s="25">
      <c r="A13" s="44" t="n">
        <v>12</v>
      </c>
      <c r="B13" s="43" t="inlineStr">
        <is>
          <t>認証</t>
        </is>
      </c>
      <c r="C13" s="43" t="inlineStr">
        <is>
          <t>権限</t>
        </is>
      </c>
      <c r="D13" s="43" t="inlineStr">
        <is>
          <t>権限が無いメニューの表示</t>
        </is>
      </c>
      <c r="E13" s="43" t="inlineStr">
        <is>
          <t>権限のない社員でログインする</t>
        </is>
      </c>
      <c r="F13" s="43" t="inlineStr">
        <is>
          <t>メニュー画面を表示する</t>
        </is>
      </c>
      <c r="G13" s="43" t="inlineStr">
        <is>
          <t>対象ボタンが押せず「権限なし」と表示される</t>
        </is>
      </c>
      <c r="H13" s="47" t="inlineStr">
        <is>
          <t>未実装</t>
        </is>
      </c>
      <c r="I13" s="45" t="n"/>
      <c r="J13" s="45" t="n"/>
      <c r="K13" s="45" t="n"/>
      <c r="L13" s="45" t="n"/>
    </row>
    <row r="14" ht="29.25" customHeight="1" s="25">
      <c r="A14" s="44" t="n">
        <v>13</v>
      </c>
      <c r="B14" s="43" t="inlineStr">
        <is>
          <t>認証</t>
        </is>
      </c>
      <c r="C14" s="43" t="inlineStr">
        <is>
          <t>権限</t>
        </is>
      </c>
      <c r="D14" s="43" t="inlineStr">
        <is>
          <t>権限が無い画面への直接アクセス</t>
        </is>
      </c>
      <c r="E14" s="43" t="inlineStr">
        <is>
          <t>権限のない社員でログインする</t>
        </is>
      </c>
      <c r="F14" s="43" t="inlineStr">
        <is>
          <t>対象画面の URL を直接開く</t>
        </is>
      </c>
      <c r="G14" s="43" t="inlineStr">
        <is>
          <t>メニュー画面へ戻され「処理権限がありません。」が表示される</t>
        </is>
      </c>
      <c r="H14" s="47" t="inlineStr">
        <is>
          <t>未実装</t>
        </is>
      </c>
      <c r="I14" s="45" t="n"/>
      <c r="J14" s="45" t="n"/>
      <c r="K14" s="45" t="n"/>
      <c r="L14" s="45" t="n"/>
    </row>
    <row r="15" ht="43.5" customHeight="1" s="25">
      <c r="A15" s="44" t="n">
        <v>14</v>
      </c>
      <c r="B15" s="43" t="inlineStr">
        <is>
          <t>認証</t>
        </is>
      </c>
      <c r="C15" s="43" t="inlineStr">
        <is>
          <t>ログ</t>
        </is>
      </c>
      <c r="D15" s="43" t="inlineStr">
        <is>
          <t>ログイン履歴の記録</t>
        </is>
      </c>
      <c r="E15" s="46" t="inlineStr">
        <is>
          <t>-</t>
        </is>
      </c>
      <c r="F15" s="43" t="inlineStr">
        <is>
          <t>ログインする</t>
        </is>
      </c>
      <c r="G15" s="46" t="inlineStr">
        <is>
          <t>tbl_t_atom_login_log に1件登録される（version_no=0.1.0、menu_no=0、login_ymd=現在日時）</t>
        </is>
      </c>
      <c r="H15" s="44" t="inlineStr">
        <is>
          <t>実装済</t>
        </is>
      </c>
      <c r="I15" s="45" t="n"/>
      <c r="J15" s="45" t="n"/>
      <c r="K15" s="45" t="n"/>
      <c r="L15" s="45" t="n"/>
    </row>
    <row r="16" ht="29.25" customHeight="1" s="25">
      <c r="A16" s="44" t="n">
        <v>15</v>
      </c>
      <c r="B16" s="43" t="inlineStr">
        <is>
          <t>認証</t>
        </is>
      </c>
      <c r="C16" s="43" t="inlineStr">
        <is>
          <t>例外</t>
        </is>
      </c>
      <c r="D16" s="43" t="inlineStr">
        <is>
          <t>例外の詳細を画面に出さない</t>
        </is>
      </c>
      <c r="E16" s="46" t="inlineStr">
        <is>
          <t>DB を停止する</t>
        </is>
      </c>
      <c r="F16" s="43" t="inlineStr">
        <is>
          <t>ログインまたは業務処理を行う</t>
        </is>
      </c>
      <c r="G16" s="43" t="inlineStr">
        <is>
          <t>定型のメッセージのみ表示される。スタックトレースや SQL 文は表示されない</t>
        </is>
      </c>
      <c r="H16" s="44" t="inlineStr">
        <is>
          <t>実装済</t>
        </is>
      </c>
      <c r="I16" s="45" t="n"/>
      <c r="J16" s="45" t="n"/>
      <c r="K16" s="45" t="n"/>
      <c r="L16" s="45" t="n"/>
    </row>
  </sheetData>
  <autoFilter ref="A1:L16"/>
  <dataValidations count="1">
    <dataValidation sqref="J2:J16" showDropDown="0" showInputMessage="0" showErrorMessage="0" allowBlank="1" type="list" errorStyle="stop" operator="between">
      <formula1>"OK,NG,対象外"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24" min="1" max="1"/>
    <col width="14" customWidth="1" style="24" min="2" max="2"/>
    <col width="16" customWidth="1" style="24" min="3" max="3"/>
    <col width="34" customWidth="1" style="24" min="4" max="4"/>
    <col width="30" customWidth="1" style="24" min="5" max="5"/>
    <col width="40" customWidth="1" style="24" min="6" max="6"/>
    <col width="46" customWidth="1" style="24" min="7" max="7"/>
    <col width="9" customWidth="1" style="24" min="8" max="8"/>
    <col width="11" customWidth="1" style="24" min="9" max="9"/>
    <col width="8" customWidth="1" style="24" min="10" max="10"/>
    <col width="10" customWidth="1" style="24" min="11" max="11"/>
    <col width="24" customWidth="1" style="24" min="12" max="12"/>
  </cols>
  <sheetData>
    <row r="1" ht="15" customHeight="1" s="25">
      <c r="A1" s="40" t="inlineStr">
        <is>
          <t>No</t>
        </is>
      </c>
      <c r="B1" s="41" t="inlineStr">
        <is>
          <t>大分類</t>
        </is>
      </c>
      <c r="C1" s="41" t="inlineStr">
        <is>
          <t>中分類</t>
        </is>
      </c>
      <c r="D1" s="41" t="inlineStr">
        <is>
          <t>確認項目</t>
        </is>
      </c>
      <c r="E1" s="41" t="inlineStr">
        <is>
          <t>前提条件</t>
        </is>
      </c>
      <c r="F1" s="41" t="inlineStr">
        <is>
          <t>操作手順</t>
        </is>
      </c>
      <c r="G1" s="41" t="inlineStr">
        <is>
          <t>期待結果</t>
        </is>
      </c>
      <c r="H1" s="41" t="inlineStr">
        <is>
          <t>状態</t>
        </is>
      </c>
      <c r="I1" s="41" t="inlineStr">
        <is>
          <t>実施日</t>
        </is>
      </c>
      <c r="J1" s="41" t="inlineStr">
        <is>
          <t>結果</t>
        </is>
      </c>
      <c r="K1" s="41" t="inlineStr">
        <is>
          <t>確認者</t>
        </is>
      </c>
      <c r="L1" s="41" t="inlineStr">
        <is>
          <t>備考</t>
        </is>
      </c>
    </row>
    <row r="2" ht="29.25" customHeight="1" s="25">
      <c r="A2" s="44" t="n">
        <v>1</v>
      </c>
      <c r="B2" s="43" t="inlineStr">
        <is>
          <t>ログイン画面</t>
        </is>
      </c>
      <c r="C2" s="43" t="inlineStr">
        <is>
          <t>初期表示</t>
        </is>
      </c>
      <c r="D2" s="43" t="inlineStr">
        <is>
          <t>画面の表示</t>
        </is>
      </c>
      <c r="E2" s="43" t="inlineStr">
        <is>
          <t>未ログイン</t>
        </is>
      </c>
      <c r="F2" s="46" t="inlineStr">
        <is>
          <t>/ を開く</t>
        </is>
      </c>
      <c r="G2" s="43" t="inlineStr">
        <is>
          <t>ログイン画面が表示され、社員コード欄にカーソルがある</t>
        </is>
      </c>
      <c r="H2" s="44" t="inlineStr">
        <is>
          <t>実装済</t>
        </is>
      </c>
      <c r="I2" s="45" t="n"/>
      <c r="J2" s="45" t="n"/>
      <c r="K2" s="45" t="n"/>
      <c r="L2" s="45" t="n"/>
    </row>
    <row r="3" ht="29.25" customHeight="1" s="25">
      <c r="A3" s="44" t="n">
        <v>2</v>
      </c>
      <c r="B3" s="43" t="inlineStr">
        <is>
          <t>ログイン画面</t>
        </is>
      </c>
      <c r="C3" s="43" t="inlineStr">
        <is>
          <t>初期表示</t>
        </is>
      </c>
      <c r="D3" s="43" t="inlineStr">
        <is>
          <t>ヘッダーの表示</t>
        </is>
      </c>
      <c r="E3" s="43" t="inlineStr">
        <is>
          <t>未ログイン</t>
        </is>
      </c>
      <c r="F3" s="43" t="inlineStr">
        <is>
          <t>ログイン画面を表示する</t>
        </is>
      </c>
      <c r="G3" s="46" t="inlineStr">
        <is>
          <t>ATOM のタイトルが表示され、利用者名は表示されない</t>
        </is>
      </c>
      <c r="H3" s="44" t="inlineStr">
        <is>
          <t>実装済</t>
        </is>
      </c>
      <c r="I3" s="45" t="n"/>
      <c r="J3" s="45" t="n"/>
      <c r="K3" s="45" t="n"/>
      <c r="L3" s="45" t="n"/>
    </row>
    <row r="4" ht="15" customHeight="1" s="25">
      <c r="A4" s="44" t="n">
        <v>3</v>
      </c>
      <c r="B4" s="43" t="inlineStr">
        <is>
          <t>ログイン画面</t>
        </is>
      </c>
      <c r="C4" s="43" t="inlineStr">
        <is>
          <t>社員コード</t>
        </is>
      </c>
      <c r="D4" s="43" t="inlineStr">
        <is>
          <t>未入力</t>
        </is>
      </c>
      <c r="E4" s="46" t="inlineStr">
        <is>
          <t>-</t>
        </is>
      </c>
      <c r="F4" s="43" t="inlineStr">
        <is>
          <t>何も入力せず「ログイン」を押す</t>
        </is>
      </c>
      <c r="G4" s="43" t="inlineStr">
        <is>
          <t>「社員コードを入力してください。」が表示される</t>
        </is>
      </c>
      <c r="H4" s="44" t="inlineStr">
        <is>
          <t>実装済</t>
        </is>
      </c>
      <c r="I4" s="45" t="n"/>
      <c r="J4" s="45" t="n"/>
      <c r="K4" s="45" t="n"/>
      <c r="L4" s="45" t="n"/>
    </row>
    <row r="5" ht="29.25" customHeight="1" s="25">
      <c r="A5" s="44" t="n">
        <v>4</v>
      </c>
      <c r="B5" s="43" t="inlineStr">
        <is>
          <t>ログイン画面</t>
        </is>
      </c>
      <c r="C5" s="43" t="inlineStr">
        <is>
          <t>社員コード</t>
        </is>
      </c>
      <c r="D5" s="43" t="inlineStr">
        <is>
          <t>桁数不足</t>
        </is>
      </c>
      <c r="E5" s="46" t="inlineStr">
        <is>
          <t>-</t>
        </is>
      </c>
      <c r="F5" s="43" t="inlineStr">
        <is>
          <t>「12345」（5桁）を入力して「ログイン」を押す</t>
        </is>
      </c>
      <c r="G5" s="43" t="inlineStr">
        <is>
          <t>「入力桁数が不正です（６桁）。」が表示される</t>
        </is>
      </c>
      <c r="H5" s="44" t="inlineStr">
        <is>
          <t>実装済</t>
        </is>
      </c>
      <c r="I5" s="45" t="n"/>
      <c r="J5" s="45" t="n"/>
      <c r="K5" s="45" t="n"/>
      <c r="L5" s="45" t="n"/>
    </row>
    <row r="6" ht="15" customHeight="1" s="25">
      <c r="A6" s="44" t="n">
        <v>5</v>
      </c>
      <c r="B6" s="43" t="inlineStr">
        <is>
          <t>ログイン画面</t>
        </is>
      </c>
      <c r="C6" s="43" t="inlineStr">
        <is>
          <t>社員コード</t>
        </is>
      </c>
      <c r="D6" s="43" t="inlineStr">
        <is>
          <t>桁数超過の入力制限</t>
        </is>
      </c>
      <c r="E6" s="46" t="inlineStr">
        <is>
          <t>-</t>
        </is>
      </c>
      <c r="F6" s="46" t="inlineStr">
        <is>
          <t>7桁以上を入力しようとする</t>
        </is>
      </c>
      <c r="G6" s="46" t="inlineStr">
        <is>
          <t>6桁までしか入力できない（MaxLength=6）</t>
        </is>
      </c>
      <c r="H6" s="44" t="inlineStr">
        <is>
          <t>実装済</t>
        </is>
      </c>
      <c r="I6" s="45" t="n"/>
      <c r="J6" s="45" t="n"/>
      <c r="K6" s="45" t="n"/>
      <c r="L6" s="45" t="n"/>
    </row>
    <row r="7" ht="29.25" customHeight="1" s="25">
      <c r="A7" s="44" t="n">
        <v>6</v>
      </c>
      <c r="B7" s="43" t="inlineStr">
        <is>
          <t>ログイン画面</t>
        </is>
      </c>
      <c r="C7" s="43" t="inlineStr">
        <is>
          <t>社員コード</t>
        </is>
      </c>
      <c r="D7" s="43" t="inlineStr">
        <is>
          <t>存在しないコード</t>
        </is>
      </c>
      <c r="E7" s="46" t="inlineStr">
        <is>
          <t>-</t>
        </is>
      </c>
      <c r="F7" s="43" t="inlineStr">
        <is>
          <t>存在しない6桁のコードを入力して「ログイン」を押す</t>
        </is>
      </c>
      <c r="G7" s="43" t="inlineStr">
        <is>
          <t>「存在しない社員コードが入力されました。」が表示される。画面は遷移しない</t>
        </is>
      </c>
      <c r="H7" s="44" t="inlineStr">
        <is>
          <t>実装済</t>
        </is>
      </c>
      <c r="I7" s="45" t="n"/>
      <c r="J7" s="45" t="n"/>
      <c r="K7" s="45" t="n"/>
      <c r="L7" s="45" t="n"/>
    </row>
    <row r="8" ht="29.25" customHeight="1" s="25">
      <c r="A8" s="44" t="n">
        <v>7</v>
      </c>
      <c r="B8" s="43" t="inlineStr">
        <is>
          <t>ログイン画面</t>
        </is>
      </c>
      <c r="C8" s="43" t="inlineStr">
        <is>
          <t>社員コード</t>
        </is>
      </c>
      <c r="D8" s="43" t="inlineStr">
        <is>
          <t>正常ログイン</t>
        </is>
      </c>
      <c r="E8" s="43" t="inlineStr">
        <is>
          <t>有効な社員コードがある</t>
        </is>
      </c>
      <c r="F8" s="43" t="inlineStr">
        <is>
          <t>有効な6桁のコードを入力して「ログイン」を押す</t>
        </is>
      </c>
      <c r="G8" s="43" t="inlineStr">
        <is>
          <t>メニュー画面へ遷移し、ヘッダー右端に社員名が表示される</t>
        </is>
      </c>
      <c r="H8" s="44" t="inlineStr">
        <is>
          <t>実装済</t>
        </is>
      </c>
      <c r="I8" s="45" t="n"/>
      <c r="J8" s="45" t="n"/>
      <c r="K8" s="45" t="n"/>
      <c r="L8" s="45" t="n"/>
    </row>
    <row r="9" ht="15" customHeight="1" s="25">
      <c r="A9" s="44" t="n">
        <v>8</v>
      </c>
      <c r="B9" s="43" t="inlineStr">
        <is>
          <t>ログイン画面</t>
        </is>
      </c>
      <c r="C9" s="43" t="inlineStr">
        <is>
          <t>社員コード</t>
        </is>
      </c>
      <c r="D9" s="43" t="inlineStr">
        <is>
          <t>前後の空白</t>
        </is>
      </c>
      <c r="E9" s="43" t="inlineStr">
        <is>
          <t>有効な社員コードがある</t>
        </is>
      </c>
      <c r="F9" s="43" t="inlineStr">
        <is>
          <t>前後に空白を付けて入力し「ログイン」を押す</t>
        </is>
      </c>
      <c r="G9" s="43" t="inlineStr">
        <is>
          <t>空白は除かれて認証され、ログインできる</t>
        </is>
      </c>
      <c r="H9" s="44" t="inlineStr">
        <is>
          <t>実装済</t>
        </is>
      </c>
      <c r="I9" s="45" t="n"/>
      <c r="J9" s="45" t="n"/>
      <c r="K9" s="45" t="n"/>
      <c r="L9" s="45" t="n"/>
    </row>
    <row r="10" ht="29.25" customHeight="1" s="25">
      <c r="A10" s="44" t="n">
        <v>9</v>
      </c>
      <c r="B10" s="43" t="inlineStr">
        <is>
          <t>ログイン画面</t>
        </is>
      </c>
      <c r="C10" s="43" t="inlineStr">
        <is>
          <t>社員コード</t>
        </is>
      </c>
      <c r="D10" s="43" t="inlineStr">
        <is>
          <t>サーバー側の再検証</t>
        </is>
      </c>
      <c r="E10" s="46" t="inlineStr">
        <is>
          <t>-</t>
        </is>
      </c>
      <c r="F10" s="43" t="inlineStr">
        <is>
          <t>ブラウザの検証を無効化し、5桁のままポストバックする</t>
        </is>
      </c>
      <c r="G10" s="43" t="inlineStr">
        <is>
          <t>「入力桁数が不正です（６桁）。」が表示され、DB へ問い合わせない</t>
        </is>
      </c>
      <c r="H10" s="44" t="inlineStr">
        <is>
          <t>実装済</t>
        </is>
      </c>
      <c r="I10" s="45" t="n"/>
      <c r="J10" s="45" t="n"/>
      <c r="K10" s="45" t="n"/>
      <c r="L10" s="45" t="n"/>
    </row>
    <row r="11" ht="40.5" customHeight="1" s="25">
      <c r="A11" s="44" t="n">
        <v>10</v>
      </c>
      <c r="B11" s="43" t="inlineStr">
        <is>
          <t>ログイン画面</t>
        </is>
      </c>
      <c r="C11" s="43" t="inlineStr">
        <is>
          <t>セッション</t>
        </is>
      </c>
      <c r="D11" s="43" t="inlineStr">
        <is>
          <t>保持する情報</t>
        </is>
      </c>
      <c r="E11" s="43" t="inlineStr">
        <is>
          <t>有効な社員コードがある</t>
        </is>
      </c>
      <c r="F11" s="43" t="inlineStr">
        <is>
          <t>ログインし、Session の内容を確認する</t>
        </is>
      </c>
      <c r="G11" s="46" t="inlineStr">
        <is>
          <t>LoginCode / LoginName / BumonCode / ModeAtom / ShanghaiChotatsu / MailAddress が保持される</t>
        </is>
      </c>
      <c r="H11" s="44" t="inlineStr">
        <is>
          <t>実装済</t>
        </is>
      </c>
      <c r="I11" s="45" t="n"/>
      <c r="J11" s="45" t="n"/>
      <c r="K11" s="45" t="n"/>
      <c r="L11" s="45" t="n"/>
    </row>
    <row r="12" ht="29.25" customHeight="1" s="25">
      <c r="A12" s="44" t="n">
        <v>11</v>
      </c>
      <c r="B12" s="43" t="inlineStr">
        <is>
          <t>ログイン画面</t>
        </is>
      </c>
      <c r="C12" s="43" t="inlineStr">
        <is>
          <t>セッション</t>
        </is>
      </c>
      <c r="D12" s="43" t="inlineStr">
        <is>
          <t>社員名の桁数</t>
        </is>
      </c>
      <c r="E12" s="43" t="inlineStr">
        <is>
          <t>社員名が 30 文字程度の社員がある</t>
        </is>
      </c>
      <c r="F12" s="43" t="inlineStr">
        <is>
          <t>ログインする</t>
        </is>
      </c>
      <c r="G12" s="43" t="inlineStr">
        <is>
          <t>氏名が途中で切れずにヘッダーへ表示される（nvarchar(50) まで対応）</t>
        </is>
      </c>
      <c r="H12" s="44" t="inlineStr">
        <is>
          <t>実装済</t>
        </is>
      </c>
      <c r="I12" s="45" t="n"/>
      <c r="J12" s="45" t="n"/>
      <c r="K12" s="45" t="n"/>
      <c r="L12" s="45" t="n"/>
    </row>
    <row r="13" ht="29.25" customHeight="1" s="25">
      <c r="A13" s="44" t="n">
        <v>12</v>
      </c>
      <c r="B13" s="43" t="inlineStr">
        <is>
          <t>ログイン画面</t>
        </is>
      </c>
      <c r="C13" s="43" t="inlineStr">
        <is>
          <t>二重送信</t>
        </is>
      </c>
      <c r="D13" s="43" t="inlineStr">
        <is>
          <t>ボタン連打</t>
        </is>
      </c>
      <c r="E13" s="43" t="inlineStr">
        <is>
          <t>有効な社員コードがある</t>
        </is>
      </c>
      <c r="F13" s="43" t="inlineStr">
        <is>
          <t>「ログイン」を素早く 2 回以上押す</t>
        </is>
      </c>
      <c r="G13" s="43" t="inlineStr">
        <is>
          <t>ログイン履歴が 1 件だけ登録される。2 回目以降はボタンが無効になる</t>
        </is>
      </c>
      <c r="H13" s="44" t="inlineStr">
        <is>
          <t>実装済</t>
        </is>
      </c>
      <c r="I13" s="45" t="n"/>
      <c r="J13" s="45" t="n"/>
      <c r="K13" s="45" t="n"/>
      <c r="L13" s="45" t="n"/>
    </row>
    <row r="14" ht="29.25" customHeight="1" s="25">
      <c r="A14" s="44" t="n">
        <v>13</v>
      </c>
      <c r="B14" s="43" t="inlineStr">
        <is>
          <t>ログイン画面</t>
        </is>
      </c>
      <c r="C14" s="43" t="inlineStr">
        <is>
          <t>異常系</t>
        </is>
      </c>
      <c r="D14" s="46" t="inlineStr">
        <is>
          <t>DB へ接続できない</t>
        </is>
      </c>
      <c r="E14" s="46" t="inlineStr">
        <is>
          <t>DB を停止する</t>
        </is>
      </c>
      <c r="F14" s="43" t="inlineStr">
        <is>
          <t>ログインする</t>
        </is>
      </c>
      <c r="G14" s="43" t="inlineStr">
        <is>
          <t>「ログイン処理に失敗しました。時間をおいて再度お試しください。」が表示される</t>
        </is>
      </c>
      <c r="H14" s="44" t="inlineStr">
        <is>
          <t>実装済</t>
        </is>
      </c>
      <c r="I14" s="45" t="n"/>
      <c r="J14" s="45" t="n"/>
      <c r="K14" s="45" t="n"/>
      <c r="L14" s="45" t="n"/>
    </row>
    <row r="15">
      <c r="A15" s="44" t="n">
        <v>14</v>
      </c>
      <c r="B15" s="43" t="inlineStr">
        <is>
          <t>ログイン画面</t>
        </is>
      </c>
      <c r="C15" s="43" t="inlineStr">
        <is>
          <t>操作</t>
        </is>
      </c>
      <c r="D15" s="43" t="inlineStr">
        <is>
          <t>Enter キーでログインする</t>
        </is>
      </c>
      <c r="E15" s="43" t="inlineStr">
        <is>
          <t>-</t>
        </is>
      </c>
      <c r="F15" s="46" t="inlineStr">
        <is>
          <t>社員コードを入力して Enter を押す</t>
        </is>
      </c>
      <c r="G15" s="43" t="inlineStr">
        <is>
          <t>ログインボタンを押したときと同じようにログインできる</t>
        </is>
      </c>
      <c r="H15" s="44" t="inlineStr">
        <is>
          <t>実装済</t>
        </is>
      </c>
      <c r="I15" s="45" t="n"/>
      <c r="J15" s="45" t="n"/>
      <c r="K15" s="45" t="n"/>
      <c r="L15" s="45" t="n"/>
    </row>
    <row r="16">
      <c r="A16" s="44" t="n">
        <v>15</v>
      </c>
      <c r="B16" s="43" t="inlineStr">
        <is>
          <t>ログイン画面</t>
        </is>
      </c>
      <c r="C16" s="43" t="inlineStr">
        <is>
          <t>操作</t>
        </is>
      </c>
      <c r="D16" s="43" t="inlineStr">
        <is>
          <t>Enter キーでも入力検証が働く</t>
        </is>
      </c>
      <c r="E16" s="43" t="inlineStr">
        <is>
          <t>-</t>
        </is>
      </c>
      <c r="F16" s="46" t="inlineStr">
        <is>
          <t>社員コードを空のまま Enter を押す</t>
        </is>
      </c>
      <c r="G16" s="43" t="inlineStr">
        <is>
          <t>「社員コードを入力してください。」が表示され、送信されない</t>
        </is>
      </c>
      <c r="H16" s="44" t="inlineStr">
        <is>
          <t>実装済</t>
        </is>
      </c>
      <c r="I16" s="45" t="n"/>
      <c r="J16" s="45" t="n"/>
      <c r="K16" s="45" t="n"/>
      <c r="L16" s="45" t="n"/>
    </row>
    <row r="17">
      <c r="A17" s="44" t="n">
        <v>16</v>
      </c>
      <c r="B17" s="43" t="inlineStr">
        <is>
          <t>ログイン画面</t>
        </is>
      </c>
      <c r="C17" s="43" t="inlineStr">
        <is>
          <t>操作</t>
        </is>
      </c>
      <c r="D17" s="43" t="inlineStr">
        <is>
          <t>Enter キーで桁数チェックが働く</t>
        </is>
      </c>
      <c r="E17" s="43" t="inlineStr">
        <is>
          <t>-</t>
        </is>
      </c>
      <c r="F17" s="46" t="inlineStr">
        <is>
          <t>社員コードを3桁だけ入力して Enter を押す</t>
        </is>
      </c>
      <c r="G17" s="43" t="inlineStr">
        <is>
          <t>「入力桁数が不正です（６桁）。」が表示され、送信されない</t>
        </is>
      </c>
      <c r="H17" s="44" t="inlineStr">
        <is>
          <t>実装済</t>
        </is>
      </c>
      <c r="I17" s="45" t="n"/>
      <c r="J17" s="45" t="n"/>
      <c r="K17" s="45" t="n"/>
      <c r="L17" s="45" t="n"/>
    </row>
  </sheetData>
  <autoFilter ref="A1:L14"/>
  <dataValidations count="1">
    <dataValidation sqref="J2:J14" showDropDown="0" showInputMessage="0" showErrorMessage="0" allowBlank="1" type="list" errorStyle="stop" operator="between">
      <formula1>"OK,NG,対象外"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24" min="1" max="1"/>
    <col width="14" customWidth="1" style="24" min="2" max="2"/>
    <col width="16" customWidth="1" style="24" min="3" max="3"/>
    <col width="34" customWidth="1" style="24" min="4" max="4"/>
    <col width="30" customWidth="1" style="24" min="5" max="5"/>
    <col width="40" customWidth="1" style="24" min="6" max="6"/>
    <col width="46" customWidth="1" style="24" min="7" max="7"/>
    <col width="9" customWidth="1" style="24" min="8" max="8"/>
    <col width="11" customWidth="1" style="24" min="9" max="9"/>
    <col width="8" customWidth="1" style="24" min="10" max="10"/>
    <col width="10" customWidth="1" style="24" min="11" max="11"/>
    <col width="24" customWidth="1" style="24" min="12" max="12"/>
  </cols>
  <sheetData>
    <row r="1" ht="15" customHeight="1" s="25">
      <c r="A1" s="40" t="inlineStr">
        <is>
          <t>No</t>
        </is>
      </c>
      <c r="B1" s="41" t="inlineStr">
        <is>
          <t>大分類</t>
        </is>
      </c>
      <c r="C1" s="41" t="inlineStr">
        <is>
          <t>中分類</t>
        </is>
      </c>
      <c r="D1" s="41" t="inlineStr">
        <is>
          <t>確認項目</t>
        </is>
      </c>
      <c r="E1" s="41" t="inlineStr">
        <is>
          <t>前提条件</t>
        </is>
      </c>
      <c r="F1" s="41" t="inlineStr">
        <is>
          <t>操作手順</t>
        </is>
      </c>
      <c r="G1" s="41" t="inlineStr">
        <is>
          <t>期待結果</t>
        </is>
      </c>
      <c r="H1" s="41" t="inlineStr">
        <is>
          <t>状態</t>
        </is>
      </c>
      <c r="I1" s="41" t="inlineStr">
        <is>
          <t>実施日</t>
        </is>
      </c>
      <c r="J1" s="41" t="inlineStr">
        <is>
          <t>結果</t>
        </is>
      </c>
      <c r="K1" s="41" t="inlineStr">
        <is>
          <t>確認者</t>
        </is>
      </c>
      <c r="L1" s="41" t="inlineStr">
        <is>
          <t>備考</t>
        </is>
      </c>
    </row>
    <row r="2" ht="29.25" customHeight="1" s="25">
      <c r="A2" s="44" t="n">
        <v>1</v>
      </c>
      <c r="B2" s="43" t="inlineStr">
        <is>
          <t>メニュー画面</t>
        </is>
      </c>
      <c r="C2" s="43" t="inlineStr">
        <is>
          <t>初期表示</t>
        </is>
      </c>
      <c r="D2" s="43" t="inlineStr">
        <is>
          <t>ブロックと項目の構成</t>
        </is>
      </c>
      <c r="E2" s="43" t="inlineStr">
        <is>
          <t>ログイン済み</t>
        </is>
      </c>
      <c r="F2" s="43" t="inlineStr">
        <is>
          <t>メニュー画面を表示する</t>
        </is>
      </c>
      <c r="G2" s="46" t="inlineStr">
        <is>
          <t>4ブロック17項目が AtomScreens.json の定義どおりに表示される</t>
        </is>
      </c>
      <c r="H2" s="44" t="inlineStr">
        <is>
          <t>実装済</t>
        </is>
      </c>
      <c r="I2" s="45" t="n"/>
      <c r="J2" s="45" t="n"/>
      <c r="K2" s="45" t="n"/>
      <c r="L2" s="45" t="n"/>
    </row>
    <row r="3" ht="29.25" customHeight="1" s="25">
      <c r="A3" s="44" t="n">
        <v>2</v>
      </c>
      <c r="B3" s="43" t="inlineStr">
        <is>
          <t>メニュー画面</t>
        </is>
      </c>
      <c r="C3" s="43" t="inlineStr">
        <is>
          <t>初期表示</t>
        </is>
      </c>
      <c r="D3" s="43" t="inlineStr">
        <is>
          <t>列の配置</t>
        </is>
      </c>
      <c r="E3" s="43" t="inlineStr">
        <is>
          <t>ログイン済み</t>
        </is>
      </c>
      <c r="F3" s="43" t="inlineStr">
        <is>
          <t>メニュー画面を表示する</t>
        </is>
      </c>
      <c r="G3" s="46" t="inlineStr">
        <is>
          <t>1列目=上海輸入定期便＆AIR便 / 2列目=その他輸入関連→マスタ関連 / 3列目=輸入経費入力→ログアウト</t>
        </is>
      </c>
      <c r="H3" s="44" t="inlineStr">
        <is>
          <t>実装済</t>
        </is>
      </c>
      <c r="I3" s="45" t="n"/>
      <c r="J3" s="45" t="n"/>
      <c r="K3" s="45" t="n"/>
      <c r="L3" s="45" t="n"/>
    </row>
    <row r="4" ht="29.25" customHeight="1" s="25">
      <c r="A4" s="44" t="n">
        <v>3</v>
      </c>
      <c r="B4" s="43" t="inlineStr">
        <is>
          <t>メニュー画面</t>
        </is>
      </c>
      <c r="C4" s="43" t="inlineStr">
        <is>
          <t>初期表示</t>
        </is>
      </c>
      <c r="D4" s="43" t="inlineStr">
        <is>
          <t>ブロックの配色</t>
        </is>
      </c>
      <c r="E4" s="43" t="inlineStr">
        <is>
          <t>ログイン済み</t>
        </is>
      </c>
      <c r="F4" s="43" t="inlineStr">
        <is>
          <t>メニュー画面を表示する</t>
        </is>
      </c>
      <c r="G4" s="43" t="inlineStr">
        <is>
          <t>上海・その他輸入・輸入経費が水色、マスタ関連がピンク。見出し帯はピンク</t>
        </is>
      </c>
      <c r="H4" s="44" t="inlineStr">
        <is>
          <t>実装済</t>
        </is>
      </c>
      <c r="I4" s="45" t="n"/>
      <c r="J4" s="45" t="n"/>
      <c r="K4" s="45" t="n"/>
      <c r="L4" s="45" t="n"/>
    </row>
    <row r="5" ht="15" customHeight="1" s="25">
      <c r="A5" s="44" t="n">
        <v>4</v>
      </c>
      <c r="B5" s="43" t="inlineStr">
        <is>
          <t>メニュー画面</t>
        </is>
      </c>
      <c r="C5" s="43" t="inlineStr">
        <is>
          <t>初期表示</t>
        </is>
      </c>
      <c r="D5" s="43" t="inlineStr">
        <is>
          <t>見出しの折り返し</t>
        </is>
      </c>
      <c r="E5" s="43" t="inlineStr">
        <is>
          <t>ログイン済み</t>
        </is>
      </c>
      <c r="F5" s="43" t="inlineStr">
        <is>
          <t>「上海輸入定期便＆AIR便」の見出しを確認する</t>
        </is>
      </c>
      <c r="G5" s="43" t="inlineStr">
        <is>
          <t>途中で折り返さず 1 行で表示される</t>
        </is>
      </c>
      <c r="H5" s="44" t="inlineStr">
        <is>
          <t>実装済</t>
        </is>
      </c>
      <c r="I5" s="45" t="n"/>
      <c r="J5" s="45" t="n"/>
      <c r="K5" s="45" t="n"/>
      <c r="L5" s="45" t="n"/>
    </row>
    <row r="6" ht="29.25" customHeight="1" s="25">
      <c r="A6" s="44" t="n">
        <v>5</v>
      </c>
      <c r="B6" s="43" t="inlineStr">
        <is>
          <t>メニュー画面</t>
        </is>
      </c>
      <c r="C6" s="43" t="inlineStr">
        <is>
          <t>初期表示</t>
        </is>
      </c>
      <c r="D6" s="43" t="inlineStr">
        <is>
          <t>列の間隔</t>
        </is>
      </c>
      <c r="E6" s="43" t="inlineStr">
        <is>
          <t>ログイン済み</t>
        </is>
      </c>
      <c r="F6" s="46" t="inlineStr">
        <is>
          <t>2列目のブロック間を確認する</t>
        </is>
      </c>
      <c r="G6" s="43" t="inlineStr">
        <is>
          <t>その他輸入関連の直下にマスタ関連が続き、大きな余白ができない</t>
        </is>
      </c>
      <c r="H6" s="44" t="inlineStr">
        <is>
          <t>実装済</t>
        </is>
      </c>
      <c r="I6" s="45" t="n"/>
      <c r="J6" s="45" t="n"/>
      <c r="K6" s="45" t="n"/>
      <c r="L6" s="45" t="n"/>
    </row>
    <row r="7" ht="15" customHeight="1" s="25">
      <c r="A7" s="44" t="n">
        <v>6</v>
      </c>
      <c r="B7" s="43" t="inlineStr">
        <is>
          <t>メニュー画面</t>
        </is>
      </c>
      <c r="C7" s="43" t="inlineStr">
        <is>
          <t>遷移</t>
        </is>
      </c>
      <c r="D7" s="43" t="inlineStr">
        <is>
          <t>実装済み画面への遷移</t>
        </is>
      </c>
      <c r="E7" s="43" t="inlineStr">
        <is>
          <t>ログイン済み</t>
        </is>
      </c>
      <c r="F7" s="43" t="inlineStr">
        <is>
          <t>「INVOICE/PACKING取込み」を押す</t>
        </is>
      </c>
      <c r="G7" s="46" t="inlineStr">
        <is>
          <t>INVOICE/PACKING取込画面へ遷移する</t>
        </is>
      </c>
      <c r="H7" s="44" t="inlineStr">
        <is>
          <t>実装済</t>
        </is>
      </c>
      <c r="I7" s="45" t="n"/>
      <c r="J7" s="45" t="n"/>
      <c r="K7" s="45" t="n"/>
      <c r="L7" s="45" t="n"/>
    </row>
    <row r="8" ht="29.25" customHeight="1" s="25">
      <c r="A8" s="44" t="n">
        <v>7</v>
      </c>
      <c r="B8" s="43" t="inlineStr">
        <is>
          <t>メニュー画面</t>
        </is>
      </c>
      <c r="C8" s="43" t="inlineStr">
        <is>
          <t>遷移</t>
        </is>
      </c>
      <c r="D8" s="43" t="inlineStr">
        <is>
          <t>未実装画面の押下</t>
        </is>
      </c>
      <c r="E8" s="43" t="inlineStr">
        <is>
          <t>ログイン済み</t>
        </is>
      </c>
      <c r="F8" s="43" t="inlineStr">
        <is>
          <t>「INVOICE確認」など Url が空の項目を押す</t>
        </is>
      </c>
      <c r="G8" s="43" t="inlineStr">
        <is>
          <t>「現在未実装です。」が表示され、メニュー画面に留まる</t>
        </is>
      </c>
      <c r="H8" s="44" t="inlineStr">
        <is>
          <t>実装済</t>
        </is>
      </c>
      <c r="I8" s="45" t="n"/>
      <c r="J8" s="45" t="n"/>
      <c r="K8" s="45" t="n"/>
      <c r="L8" s="45" t="n"/>
    </row>
    <row r="9" ht="15" customHeight="1" s="25">
      <c r="A9" s="44" t="n">
        <v>8</v>
      </c>
      <c r="B9" s="43" t="inlineStr">
        <is>
          <t>メニュー画面</t>
        </is>
      </c>
      <c r="C9" s="43" t="inlineStr">
        <is>
          <t>遷移</t>
        </is>
      </c>
      <c r="D9" s="43" t="inlineStr">
        <is>
          <t>権限が無い項目</t>
        </is>
      </c>
      <c r="E9" s="43" t="inlineStr">
        <is>
          <t>権限のない社員でログインする</t>
        </is>
      </c>
      <c r="F9" s="43" t="inlineStr">
        <is>
          <t>対象の項目を確認する</t>
        </is>
      </c>
      <c r="G9" s="43" t="inlineStr">
        <is>
          <t>ボタンが押せず、下に「権限なし」と表示される</t>
        </is>
      </c>
      <c r="H9" s="47" t="inlineStr">
        <is>
          <t>未実装</t>
        </is>
      </c>
      <c r="I9" s="45" t="n"/>
      <c r="J9" s="45" t="n"/>
      <c r="K9" s="45" t="n"/>
      <c r="L9" s="45" t="n"/>
    </row>
    <row r="10" ht="29.25" customHeight="1" s="25">
      <c r="A10" s="44" t="n">
        <v>9</v>
      </c>
      <c r="B10" s="43" t="inlineStr">
        <is>
          <t>メニュー画面</t>
        </is>
      </c>
      <c r="C10" s="43" t="inlineStr">
        <is>
          <t>ログアウト</t>
        </is>
      </c>
      <c r="D10" s="43" t="inlineStr">
        <is>
          <t>ログアウトの位置</t>
        </is>
      </c>
      <c r="E10" s="43" t="inlineStr">
        <is>
          <t>ログイン済み</t>
        </is>
      </c>
      <c r="F10" s="43" t="inlineStr">
        <is>
          <t>メニュー画面を表示する</t>
        </is>
      </c>
      <c r="G10" s="46" t="inlineStr">
        <is>
          <t>3列目の輸入経費入力ブロックの直下に、同じ幅で「ログアウト」が表示される</t>
        </is>
      </c>
      <c r="H10" s="44" t="inlineStr">
        <is>
          <t>実装済</t>
        </is>
      </c>
      <c r="I10" s="45" t="n"/>
      <c r="J10" s="45" t="n"/>
      <c r="K10" s="45" t="n"/>
      <c r="L10" s="45" t="n"/>
    </row>
    <row r="11" ht="15" customHeight="1" s="25">
      <c r="A11" s="44" t="n">
        <v>10</v>
      </c>
      <c r="B11" s="43" t="inlineStr">
        <is>
          <t>メニュー画面</t>
        </is>
      </c>
      <c r="C11" s="43" t="inlineStr">
        <is>
          <t>ログアウト</t>
        </is>
      </c>
      <c r="D11" s="43" t="inlineStr">
        <is>
          <t>ログアウトの動作</t>
        </is>
      </c>
      <c r="E11" s="43" t="inlineStr">
        <is>
          <t>ログイン済み</t>
        </is>
      </c>
      <c r="F11" s="43" t="inlineStr">
        <is>
          <t>「ログアウト」を押す</t>
        </is>
      </c>
      <c r="G11" s="43" t="inlineStr">
        <is>
          <t>セッションが破棄され、ログイン画面が表示される</t>
        </is>
      </c>
      <c r="H11" s="44" t="inlineStr">
        <is>
          <t>実装済</t>
        </is>
      </c>
      <c r="I11" s="45" t="n"/>
      <c r="J11" s="45" t="n"/>
      <c r="K11" s="45" t="n"/>
      <c r="L11" s="45" t="n"/>
    </row>
    <row r="12" ht="29.25" customHeight="1" s="25">
      <c r="A12" s="44" t="n">
        <v>11</v>
      </c>
      <c r="B12" s="43" t="inlineStr">
        <is>
          <t>メニュー画面</t>
        </is>
      </c>
      <c r="C12" s="43" t="inlineStr">
        <is>
          <t>ログアウト</t>
        </is>
      </c>
      <c r="D12" s="43" t="inlineStr">
        <is>
          <t>未保存確認が出ないこと</t>
        </is>
      </c>
      <c r="E12" s="43" t="inlineStr">
        <is>
          <t>ログイン済み</t>
        </is>
      </c>
      <c r="F12" s="43" t="inlineStr">
        <is>
          <t>メニュー画面で「ログアウト」を押す</t>
        </is>
      </c>
      <c r="G12" s="43" t="inlineStr">
        <is>
          <t>入力欄が無いため確認ダイアログは表示されず、そのままログアウトする</t>
        </is>
      </c>
      <c r="H12" s="44" t="inlineStr">
        <is>
          <t>実装済</t>
        </is>
      </c>
      <c r="I12" s="45" t="n"/>
      <c r="J12" s="45" t="n"/>
      <c r="K12" s="45" t="n"/>
      <c r="L12" s="45" t="n"/>
    </row>
    <row r="13" ht="29.25" customHeight="1" s="25">
      <c r="A13" s="44" t="n">
        <v>12</v>
      </c>
      <c r="B13" s="43" t="inlineStr">
        <is>
          <t>メニュー画面</t>
        </is>
      </c>
      <c r="C13" s="43" t="inlineStr">
        <is>
          <t>画面定義</t>
        </is>
      </c>
      <c r="D13" s="43" t="inlineStr">
        <is>
          <t>名称の変更が反映される</t>
        </is>
      </c>
      <c r="E13" s="46" t="inlineStr">
        <is>
          <t>-</t>
        </is>
      </c>
      <c r="F13" s="46" t="inlineStr">
        <is>
          <t>AtomScreens.json の Title を変更して保存し、画面を再読み込みする</t>
        </is>
      </c>
      <c r="G13" s="43" t="inlineStr">
        <is>
          <t>再ビルドなしでボタンの表示名が変わる</t>
        </is>
      </c>
      <c r="H13" s="44" t="inlineStr">
        <is>
          <t>実装済</t>
        </is>
      </c>
      <c r="I13" s="45" t="n"/>
      <c r="J13" s="45" t="n"/>
      <c r="K13" s="45" t="n"/>
      <c r="L13" s="45" t="n"/>
    </row>
    <row r="14" ht="29.25" customHeight="1" s="25">
      <c r="A14" s="44" t="n">
        <v>13</v>
      </c>
      <c r="B14" s="43" t="inlineStr">
        <is>
          <t>メニュー画面</t>
        </is>
      </c>
      <c r="C14" s="43" t="inlineStr">
        <is>
          <t>画面定義</t>
        </is>
      </c>
      <c r="D14" s="43" t="inlineStr">
        <is>
          <t>列の変更が反映される</t>
        </is>
      </c>
      <c r="E14" s="46" t="inlineStr">
        <is>
          <t>-</t>
        </is>
      </c>
      <c r="F14" s="46" t="inlineStr">
        <is>
          <t>AtomScreens.json の Column を変更して保存し、画面を再読み込みする</t>
        </is>
      </c>
      <c r="G14" s="43" t="inlineStr">
        <is>
          <t>再ビルドなしでブロックの列が変わる</t>
        </is>
      </c>
      <c r="H14" s="44" t="inlineStr">
        <is>
          <t>実装済</t>
        </is>
      </c>
      <c r="I14" s="45" t="n"/>
      <c r="J14" s="45" t="n"/>
      <c r="K14" s="45" t="n"/>
      <c r="L14" s="45" t="n"/>
    </row>
    <row r="15" ht="29.25" customHeight="1" s="25">
      <c r="A15" s="44" t="n">
        <v>14</v>
      </c>
      <c r="B15" s="43" t="inlineStr">
        <is>
          <t>メニュー画面</t>
        </is>
      </c>
      <c r="C15" s="43" t="inlineStr">
        <is>
          <t>画面定義</t>
        </is>
      </c>
      <c r="D15" s="43" t="inlineStr">
        <is>
          <t>定義ファイルが壊れている</t>
        </is>
      </c>
      <c r="E15" s="46" t="inlineStr">
        <is>
          <t>-</t>
        </is>
      </c>
      <c r="F15" s="46" t="inlineStr">
        <is>
          <t>AtomScreens.json を不正な内容にして画面を開く</t>
        </is>
      </c>
      <c r="G15" s="43" t="inlineStr">
        <is>
          <t>エラー画面になるが、スタックトレースや SQL 文は表示されない</t>
        </is>
      </c>
      <c r="H15" s="44" t="inlineStr">
        <is>
          <t>実装済</t>
        </is>
      </c>
      <c r="I15" s="45" t="n"/>
      <c r="J15" s="45" t="n"/>
      <c r="K15" s="45" t="n"/>
      <c r="L15" s="45" t="n"/>
    </row>
    <row r="16" ht="29.25" customHeight="1" s="25">
      <c r="A16" s="44" t="n">
        <v>15</v>
      </c>
      <c r="B16" s="43" t="inlineStr">
        <is>
          <t>メニュー画面</t>
        </is>
      </c>
      <c r="C16" s="43" t="inlineStr">
        <is>
          <t>表示</t>
        </is>
      </c>
      <c r="D16" s="43" t="inlineStr">
        <is>
          <t>画面幅が狭いとき</t>
        </is>
      </c>
      <c r="E16" s="43" t="inlineStr">
        <is>
          <t>ログイン済み</t>
        </is>
      </c>
      <c r="F16" s="43" t="inlineStr">
        <is>
          <t>ブラウザ幅を狭める</t>
        </is>
      </c>
      <c r="G16" s="43" t="inlineStr">
        <is>
          <t>列が折り返して表示され、横スクロールが必要以上に出ない</t>
        </is>
      </c>
      <c r="H16" s="44" t="inlineStr">
        <is>
          <t>実装済</t>
        </is>
      </c>
      <c r="I16" s="45" t="n"/>
      <c r="J16" s="45" t="n"/>
      <c r="K16" s="45" t="n"/>
      <c r="L16" s="45" t="n"/>
    </row>
    <row r="17" ht="29.25" customHeight="1" s="25">
      <c r="A17" s="44" t="n">
        <v>16</v>
      </c>
      <c r="B17" s="43" t="inlineStr">
        <is>
          <t>メニュー画面</t>
        </is>
      </c>
      <c r="C17" s="43" t="inlineStr">
        <is>
          <t>セキュリティ</t>
        </is>
      </c>
      <c r="D17" s="43" t="inlineStr">
        <is>
          <t>項目名のエスケープ</t>
        </is>
      </c>
      <c r="E17" s="46" t="inlineStr">
        <is>
          <t>-</t>
        </is>
      </c>
      <c r="F17" s="46" t="inlineStr">
        <is>
          <t>AtomScreens.json の Title に「&lt;b&gt;test&lt;/b&gt;」を設定して表示する</t>
        </is>
      </c>
      <c r="G17" s="43" t="inlineStr">
        <is>
          <t>タグが解釈されず、文字列としてそのまま表示される</t>
        </is>
      </c>
      <c r="H17" s="44" t="inlineStr">
        <is>
          <t>実装済</t>
        </is>
      </c>
      <c r="I17" s="45" t="n"/>
      <c r="J17" s="45" t="n"/>
      <c r="K17" s="45" t="n"/>
      <c r="L17" s="45" t="n"/>
    </row>
    <row r="18" ht="43.5" customHeight="1" s="25">
      <c r="A18" s="42" t="n">
        <v>17</v>
      </c>
      <c r="B18" s="43" t="inlineStr">
        <is>
          <t>メニュー画面</t>
        </is>
      </c>
      <c r="C18" s="43" t="inlineStr">
        <is>
          <t>画面定義</t>
        </is>
      </c>
      <c r="D18" s="46" t="inlineStr">
        <is>
          <t>Hidden の画面がメニューに出ないこと</t>
        </is>
      </c>
      <c r="E18" s="46" t="inlineStr">
        <is>
          <t>AtomScreens.json に Hidden=true の画面（menuNo=108）がある</t>
        </is>
      </c>
      <c r="F18" s="43" t="inlineStr">
        <is>
          <t>メニュー画面を表示する</t>
        </is>
      </c>
      <c r="G18" s="43" t="inlineStr">
        <is>
          <t>「取込内容確認」はどのブロックにも表示されない</t>
        </is>
      </c>
      <c r="H18" s="44" t="inlineStr">
        <is>
          <t>実装済</t>
        </is>
      </c>
      <c r="I18" s="45" t="n"/>
      <c r="J18" s="45" t="n"/>
      <c r="K18" s="45" t="n"/>
      <c r="L18" s="45" t="n"/>
    </row>
  </sheetData>
  <autoFilter ref="A1:L18"/>
  <dataValidations count="1">
    <dataValidation sqref="J2:J18" showDropDown="0" showInputMessage="0" showErrorMessage="0" allowBlank="1" type="list" errorStyle="stop" operator="between">
      <formula1>"OK,NG,対象外"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8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24" min="1" max="1"/>
    <col width="14" customWidth="1" style="24" min="2" max="2"/>
    <col width="16" customWidth="1" style="24" min="3" max="3"/>
    <col width="34" customWidth="1" style="24" min="4" max="4"/>
    <col width="30" customWidth="1" style="24" min="5" max="5"/>
    <col width="40" customWidth="1" style="24" min="6" max="6"/>
    <col width="46" customWidth="1" style="24" min="7" max="7"/>
    <col width="9" customWidth="1" style="24" min="8" max="8"/>
    <col width="11" customWidth="1" style="24" min="9" max="9"/>
    <col width="8" customWidth="1" style="24" min="10" max="10"/>
    <col width="10" customWidth="1" style="24" min="11" max="11"/>
    <col width="24" customWidth="1" style="24" min="12" max="12"/>
  </cols>
  <sheetData>
    <row r="1" ht="15" customHeight="1" s="25">
      <c r="A1" s="40" t="inlineStr">
        <is>
          <t>No</t>
        </is>
      </c>
      <c r="B1" s="41" t="inlineStr">
        <is>
          <t>大分類</t>
        </is>
      </c>
      <c r="C1" s="41" t="inlineStr">
        <is>
          <t>中分類</t>
        </is>
      </c>
      <c r="D1" s="41" t="inlineStr">
        <is>
          <t>確認項目</t>
        </is>
      </c>
      <c r="E1" s="41" t="inlineStr">
        <is>
          <t>前提条件</t>
        </is>
      </c>
      <c r="F1" s="41" t="inlineStr">
        <is>
          <t>操作手順</t>
        </is>
      </c>
      <c r="G1" s="41" t="inlineStr">
        <is>
          <t>期待結果</t>
        </is>
      </c>
      <c r="H1" s="41" t="inlineStr">
        <is>
          <t>状態</t>
        </is>
      </c>
      <c r="I1" s="41" t="inlineStr">
        <is>
          <t>実施日</t>
        </is>
      </c>
      <c r="J1" s="41" t="inlineStr">
        <is>
          <t>結果</t>
        </is>
      </c>
      <c r="K1" s="41" t="inlineStr">
        <is>
          <t>確認者</t>
        </is>
      </c>
      <c r="L1" s="41" t="inlineStr">
        <is>
          <t>備考</t>
        </is>
      </c>
    </row>
    <row r="2" ht="29.25" customHeight="1" s="25">
      <c r="A2" s="44" t="n">
        <v>1</v>
      </c>
      <c r="B2" s="43" t="inlineStr">
        <is>
          <t>取込画面</t>
        </is>
      </c>
      <c r="C2" s="43" t="inlineStr">
        <is>
          <t>初期表示</t>
        </is>
      </c>
      <c r="D2" s="43" t="inlineStr">
        <is>
          <t>発注先の選択肢</t>
        </is>
      </c>
      <c r="E2" s="43" t="inlineStr">
        <is>
          <t>ログイン済み</t>
        </is>
      </c>
      <c r="F2" s="43" t="inlineStr">
        <is>
          <t>取込画面を開く</t>
        </is>
      </c>
      <c r="G2" s="43" t="inlineStr">
        <is>
          <t>項目マスタ（COS）から「上海タジマ」「庸助貿易」「上海タジマ（円）」が表示される。「全て」は出ない</t>
        </is>
      </c>
      <c r="H2" s="44" t="inlineStr">
        <is>
          <t>実装済</t>
        </is>
      </c>
      <c r="I2" s="45" t="n"/>
      <c r="J2" s="45" t="n"/>
      <c r="K2" s="45" t="n"/>
      <c r="L2" s="45" t="n"/>
    </row>
    <row r="3" ht="15" customHeight="1" s="25">
      <c r="A3" s="44" t="n">
        <v>2</v>
      </c>
      <c r="B3" s="43" t="inlineStr">
        <is>
          <t>取込画面</t>
        </is>
      </c>
      <c r="C3" s="43" t="inlineStr">
        <is>
          <t>初期表示</t>
        </is>
      </c>
      <c r="D3" s="43" t="inlineStr">
        <is>
          <t>通貨の選択肢</t>
        </is>
      </c>
      <c r="E3" s="43" t="inlineStr">
        <is>
          <t>ログイン済み</t>
        </is>
      </c>
      <c r="F3" s="43" t="inlineStr">
        <is>
          <t>取込画面を開く</t>
        </is>
      </c>
      <c r="G3" s="46" t="inlineStr">
        <is>
          <t>JPY と RMB が表示され、どちらも未選択</t>
        </is>
      </c>
      <c r="H3" s="44" t="inlineStr">
        <is>
          <t>実装済</t>
        </is>
      </c>
      <c r="I3" s="45" t="n"/>
      <c r="J3" s="45" t="n"/>
      <c r="K3" s="45" t="n"/>
      <c r="L3" s="45" t="n"/>
    </row>
    <row r="4" ht="29.25" customHeight="1" s="25">
      <c r="A4" s="44" t="n">
        <v>3</v>
      </c>
      <c r="B4" s="43" t="inlineStr">
        <is>
          <t>取込画面</t>
        </is>
      </c>
      <c r="C4" s="43" t="inlineStr">
        <is>
          <t>初期表示</t>
        </is>
      </c>
      <c r="D4" s="43" t="inlineStr">
        <is>
          <t>担当の初期値</t>
        </is>
      </c>
      <c r="E4" s="46" t="inlineStr">
        <is>
          <t>shanghai_chotatsu = 1 の社員でログインする</t>
        </is>
      </c>
      <c r="F4" s="43" t="inlineStr">
        <is>
          <t>取込画面を開く</t>
        </is>
      </c>
      <c r="G4" s="43" t="inlineStr">
        <is>
          <t>担当が「上海」で選択されている</t>
        </is>
      </c>
      <c r="H4" s="44" t="inlineStr">
        <is>
          <t>実装済</t>
        </is>
      </c>
      <c r="I4" s="45" t="n"/>
      <c r="J4" s="45" t="n"/>
      <c r="K4" s="45" t="n"/>
      <c r="L4" s="45" t="n"/>
    </row>
    <row r="5" ht="15" customHeight="1" s="25">
      <c r="A5" s="44" t="n">
        <v>4</v>
      </c>
      <c r="B5" s="43" t="inlineStr">
        <is>
          <t>取込画面</t>
        </is>
      </c>
      <c r="C5" s="43" t="inlineStr">
        <is>
          <t>初期表示</t>
        </is>
      </c>
      <c r="D5" s="46" t="inlineStr">
        <is>
          <t>REF_NO の状態</t>
        </is>
      </c>
      <c r="E5" s="43" t="inlineStr">
        <is>
          <t>ログイン済み</t>
        </is>
      </c>
      <c r="F5" s="43" t="inlineStr">
        <is>
          <t>取込画面を開く</t>
        </is>
      </c>
      <c r="G5" s="46" t="inlineStr">
        <is>
          <t>REF_NO は空欄、グレー背景で入力できない</t>
        </is>
      </c>
      <c r="H5" s="44" t="inlineStr">
        <is>
          <t>実装済</t>
        </is>
      </c>
      <c r="I5" s="45" t="n"/>
      <c r="J5" s="45" t="n"/>
      <c r="K5" s="45" t="n"/>
      <c r="L5" s="45" t="n"/>
    </row>
    <row r="6" ht="15" customHeight="1" s="25">
      <c r="A6" s="44" t="n">
        <v>5</v>
      </c>
      <c r="B6" s="43" t="inlineStr">
        <is>
          <t>取込画面</t>
        </is>
      </c>
      <c r="C6" s="43" t="inlineStr">
        <is>
          <t>入力チェック</t>
        </is>
      </c>
      <c r="D6" s="43" t="inlineStr">
        <is>
          <t>発注先の未選択</t>
        </is>
      </c>
      <c r="E6" s="46" t="inlineStr">
        <is>
          <t>-</t>
        </is>
      </c>
      <c r="F6" s="43" t="inlineStr">
        <is>
          <t>発注先を選ばず「取り込み」を押す</t>
        </is>
      </c>
      <c r="G6" s="43" t="inlineStr">
        <is>
          <t>「発注先を選択してください。」が表示される</t>
        </is>
      </c>
      <c r="H6" s="44" t="inlineStr">
        <is>
          <t>実装済</t>
        </is>
      </c>
      <c r="I6" s="45" t="n"/>
      <c r="J6" s="45" t="n"/>
      <c r="K6" s="45" t="n"/>
      <c r="L6" s="45" t="n"/>
    </row>
    <row r="7" ht="15" customHeight="1" s="25">
      <c r="A7" s="44" t="n">
        <v>6</v>
      </c>
      <c r="B7" s="43" t="inlineStr">
        <is>
          <t>取込画面</t>
        </is>
      </c>
      <c r="C7" s="43" t="inlineStr">
        <is>
          <t>入力チェック</t>
        </is>
      </c>
      <c r="D7" s="43" t="inlineStr">
        <is>
          <t>通貨の未選択</t>
        </is>
      </c>
      <c r="E7" s="43" t="inlineStr">
        <is>
          <t>発注先を選択済み</t>
        </is>
      </c>
      <c r="F7" s="43" t="inlineStr">
        <is>
          <t>通貨を選ばず「取り込み」を押す</t>
        </is>
      </c>
      <c r="G7" s="43" t="inlineStr">
        <is>
          <t>「通貨を選択してください。」が表示される</t>
        </is>
      </c>
      <c r="H7" s="44" t="inlineStr">
        <is>
          <t>実装済</t>
        </is>
      </c>
      <c r="I7" s="45" t="n"/>
      <c r="J7" s="45" t="n"/>
      <c r="K7" s="45" t="n"/>
      <c r="L7" s="45" t="n"/>
    </row>
    <row r="8" ht="29.25" customHeight="1" s="25">
      <c r="A8" s="44" t="n">
        <v>7</v>
      </c>
      <c r="B8" s="43" t="inlineStr">
        <is>
          <t>取込画面</t>
        </is>
      </c>
      <c r="C8" s="43" t="inlineStr">
        <is>
          <t>入力チェック</t>
        </is>
      </c>
      <c r="D8" s="46" t="inlineStr">
        <is>
          <t>INVOICE ファイルの未選択</t>
        </is>
      </c>
      <c r="E8" s="43" t="inlineStr">
        <is>
          <t>発注先・通貨を選択済み</t>
        </is>
      </c>
      <c r="F8" s="43" t="inlineStr">
        <is>
          <t>ファイルを選ばず「取り込み」を押す</t>
        </is>
      </c>
      <c r="G8" s="43" t="inlineStr">
        <is>
          <t>「INVOICEファイルを選択してください。」が表示される</t>
        </is>
      </c>
      <c r="H8" s="44" t="inlineStr">
        <is>
          <t>実装済</t>
        </is>
      </c>
      <c r="I8" s="45" t="n"/>
      <c r="J8" s="45" t="n"/>
      <c r="K8" s="45" t="n"/>
      <c r="L8" s="45" t="n"/>
    </row>
    <row r="9" ht="29.25" customHeight="1" s="25">
      <c r="A9" s="44" t="n">
        <v>8</v>
      </c>
      <c r="B9" s="43" t="inlineStr">
        <is>
          <t>取込画面</t>
        </is>
      </c>
      <c r="C9" s="43" t="inlineStr">
        <is>
          <t>入力チェック</t>
        </is>
      </c>
      <c r="D9" s="46" t="inlineStr">
        <is>
          <t>PACKING ファイルの未選択</t>
        </is>
      </c>
      <c r="E9" s="46" t="inlineStr">
        <is>
          <t>INVOICE のみ選択済み</t>
        </is>
      </c>
      <c r="F9" s="43" t="inlineStr">
        <is>
          <t>「取り込み」を押す</t>
        </is>
      </c>
      <c r="G9" s="43" t="inlineStr">
        <is>
          <t>「PACKINGファイルを選択してください。」が表示される</t>
        </is>
      </c>
      <c r="H9" s="44" t="inlineStr">
        <is>
          <t>実装済</t>
        </is>
      </c>
      <c r="I9" s="45" t="n"/>
      <c r="J9" s="45" t="n"/>
      <c r="K9" s="45" t="n"/>
      <c r="L9" s="45" t="n"/>
    </row>
    <row r="10" ht="29.25" customHeight="1" s="25">
      <c r="A10" s="44" t="n">
        <v>9</v>
      </c>
      <c r="B10" s="43" t="inlineStr">
        <is>
          <t>取込画面</t>
        </is>
      </c>
      <c r="C10" s="43" t="inlineStr">
        <is>
          <t>入力チェック</t>
        </is>
      </c>
      <c r="D10" s="43" t="inlineStr">
        <is>
          <t>拡張子が対象外</t>
        </is>
      </c>
      <c r="E10" s="46" t="inlineStr">
        <is>
          <t>-</t>
        </is>
      </c>
      <c r="F10" s="43" t="inlineStr">
        <is>
          <t>テキストファイル（.txt）を選んで「取り込み」を押す</t>
        </is>
      </c>
      <c r="G10" s="43" t="inlineStr">
        <is>
          <t>「Excelファイル（.xls / .xlsx）を選択してください。」が表示される</t>
        </is>
      </c>
      <c r="H10" s="44" t="inlineStr">
        <is>
          <t>実装済</t>
        </is>
      </c>
      <c r="I10" s="45" t="n"/>
      <c r="J10" s="45" t="n"/>
      <c r="K10" s="45" t="n"/>
      <c r="L10" s="45" t="n"/>
    </row>
    <row r="11" ht="29.25" customHeight="1" s="25">
      <c r="A11" s="44" t="n">
        <v>10</v>
      </c>
      <c r="B11" s="43" t="inlineStr">
        <is>
          <t>取込画面</t>
        </is>
      </c>
      <c r="C11" s="43" t="inlineStr">
        <is>
          <t>入力チェック</t>
        </is>
      </c>
      <c r="D11" s="46" t="inlineStr">
        <is>
          <t>xlsx を受け付ける</t>
        </is>
      </c>
      <c r="E11" s="46" t="inlineStr">
        <is>
          <t>-</t>
        </is>
      </c>
      <c r="F11" s="46" t="inlineStr">
        <is>
          <t>SJ-TJ7694_INV.xlsx と _PAC.xlsx を選んで取り込む</t>
        </is>
      </c>
      <c r="G11" s="43" t="inlineStr">
        <is>
          <t>エラーにならず取り込める</t>
        </is>
      </c>
      <c r="H11" s="44" t="inlineStr">
        <is>
          <t>実装済</t>
        </is>
      </c>
      <c r="I11" s="45" t="n"/>
      <c r="J11" s="45" t="n"/>
      <c r="K11" s="45" t="n"/>
      <c r="L11" s="45" t="n"/>
    </row>
    <row r="12" ht="29.25" customHeight="1" s="25">
      <c r="A12" s="44" t="n">
        <v>11</v>
      </c>
      <c r="B12" s="43" t="inlineStr">
        <is>
          <t>取込画面</t>
        </is>
      </c>
      <c r="C12" s="43" t="inlineStr">
        <is>
          <t>入力チェック</t>
        </is>
      </c>
      <c r="D12" s="46" t="inlineStr">
        <is>
          <t>INV と PAC のファイル名不一致</t>
        </is>
      </c>
      <c r="E12" s="46" t="inlineStr">
        <is>
          <t>-</t>
        </is>
      </c>
      <c r="F12" s="46" t="inlineStr">
        <is>
          <t>AAAA_INV.xls と BBBB_PAC.xls を選んで「取り込み」を押す</t>
        </is>
      </c>
      <c r="G12" s="43" t="inlineStr">
        <is>
          <t>「INVOICEとPACKINGのファイル名が一致しません。」が表示される</t>
        </is>
      </c>
      <c r="H12" s="44" t="inlineStr">
        <is>
          <t>実装済</t>
        </is>
      </c>
      <c r="I12" s="45" t="n"/>
      <c r="J12" s="45" t="n"/>
      <c r="K12" s="45" t="n"/>
      <c r="L12" s="45" t="n"/>
    </row>
    <row r="13" ht="29.25" customHeight="1" s="25">
      <c r="A13" s="44" t="n">
        <v>12</v>
      </c>
      <c r="B13" s="43" t="inlineStr">
        <is>
          <t>取込画面</t>
        </is>
      </c>
      <c r="C13" s="43" t="inlineStr">
        <is>
          <t>入力チェック</t>
        </is>
      </c>
      <c r="D13" s="43" t="inlineStr">
        <is>
          <t>通貨不一致（SJ-TJ×RMB）</t>
        </is>
      </c>
      <c r="E13" s="46" t="inlineStr">
        <is>
          <t>-</t>
        </is>
      </c>
      <c r="F13" s="46" t="inlineStr">
        <is>
          <t>SJ-TJ7694_INV.xls を選び、通貨に RMB を選んで「取り込み」を押す</t>
        </is>
      </c>
      <c r="G13" s="43" t="inlineStr">
        <is>
          <t>「INVOICEと通貨が一致しません。」が表示される</t>
        </is>
      </c>
      <c r="H13" s="44" t="inlineStr">
        <is>
          <t>実装済</t>
        </is>
      </c>
      <c r="I13" s="45" t="n"/>
      <c r="J13" s="45" t="n"/>
      <c r="K13" s="45" t="n"/>
      <c r="L13" s="45" t="n"/>
    </row>
    <row r="14" ht="29.25" customHeight="1" s="25">
      <c r="A14" s="44" t="n">
        <v>13</v>
      </c>
      <c r="B14" s="43" t="inlineStr">
        <is>
          <t>取込画面</t>
        </is>
      </c>
      <c r="C14" s="43" t="inlineStr">
        <is>
          <t>入力チェック</t>
        </is>
      </c>
      <c r="D14" s="43" t="inlineStr">
        <is>
          <t>通貨不一致（SJ-TR×JPY）</t>
        </is>
      </c>
      <c r="E14" s="46" t="inlineStr">
        <is>
          <t>-</t>
        </is>
      </c>
      <c r="F14" s="46" t="inlineStr">
        <is>
          <t>SJ-TR で始まるファイルを選び、通貨に JPY を選んで「取り込み」を押す</t>
        </is>
      </c>
      <c r="G14" s="43" t="inlineStr">
        <is>
          <t>「INVOICEと通貨が一致しません。」が表示される</t>
        </is>
      </c>
      <c r="H14" s="44" t="inlineStr">
        <is>
          <t>実装済</t>
        </is>
      </c>
      <c r="I14" s="45" t="n"/>
      <c r="J14" s="45" t="n"/>
      <c r="K14" s="45" t="n"/>
      <c r="L14" s="45" t="n"/>
    </row>
    <row r="15" ht="29.25" customHeight="1" s="25">
      <c r="A15" s="44" t="n">
        <v>14</v>
      </c>
      <c r="B15" s="43" t="inlineStr">
        <is>
          <t>取込画面</t>
        </is>
      </c>
      <c r="C15" s="43" t="inlineStr">
        <is>
          <t>入力チェック</t>
        </is>
      </c>
      <c r="D15" s="43" t="inlineStr">
        <is>
          <t>通貨不一致（YJ-TR×JPY）</t>
        </is>
      </c>
      <c r="E15" s="46" t="inlineStr">
        <is>
          <t>-</t>
        </is>
      </c>
      <c r="F15" s="46" t="inlineStr">
        <is>
          <t>YJ-TR で始まるファイルを選び、通貨に JPY を選んで「取り込み」を押す</t>
        </is>
      </c>
      <c r="G15" s="43" t="inlineStr">
        <is>
          <t>「INVOICEと通貨が一致しません。」が表示される</t>
        </is>
      </c>
      <c r="H15" s="44" t="inlineStr">
        <is>
          <t>実装済</t>
        </is>
      </c>
      <c r="I15" s="45" t="n"/>
      <c r="J15" s="45" t="n"/>
      <c r="K15" s="45" t="n"/>
      <c r="L15" s="45" t="n"/>
    </row>
    <row r="16" ht="29.25" customHeight="1" s="25">
      <c r="A16" s="44" t="n">
        <v>15</v>
      </c>
      <c r="B16" s="43" t="inlineStr">
        <is>
          <t>取込画面</t>
        </is>
      </c>
      <c r="C16" s="43" t="inlineStr">
        <is>
          <t>入力チェック</t>
        </is>
      </c>
      <c r="D16" s="43" t="inlineStr">
        <is>
          <t>判定対象外のファイル名</t>
        </is>
      </c>
      <c r="E16" s="46" t="inlineStr">
        <is>
          <t>-</t>
        </is>
      </c>
      <c r="F16" s="46" t="inlineStr">
        <is>
          <t>SJ-T3 で始まるファイルを選び、通貨に RMB を選んで「取り込み」を押す</t>
        </is>
      </c>
      <c r="G16" s="43" t="inlineStr">
        <is>
          <t>通貨のチェックは行われず処理が進む（現行仕様どおり）</t>
        </is>
      </c>
      <c r="H16" s="44" t="inlineStr">
        <is>
          <t>実装済</t>
        </is>
      </c>
      <c r="I16" s="45" t="n"/>
      <c r="J16" s="45" t="n"/>
      <c r="K16" s="45" t="n"/>
      <c r="L16" s="45" t="n"/>
    </row>
    <row r="17" ht="29.25" customHeight="1" s="25">
      <c r="A17" s="44" t="n">
        <v>16</v>
      </c>
      <c r="B17" s="43" t="inlineStr">
        <is>
          <t>取込画面</t>
        </is>
      </c>
      <c r="C17" s="46" t="inlineStr">
        <is>
          <t>Excel解析</t>
        </is>
      </c>
      <c r="D17" s="46" t="inlineStr">
        <is>
          <t>INVOICE の列の取り込み</t>
        </is>
      </c>
      <c r="E17" s="46" t="inlineStr">
        <is>
          <t>SJ-TJ7694_INV.xls を用意する</t>
        </is>
      </c>
      <c r="F17" s="43" t="inlineStr">
        <is>
          <t>取り込みを行い、一時テーブルを確認する</t>
        </is>
      </c>
      <c r="G17" s="46" t="inlineStr">
        <is>
          <t>A〜R 列が line_seq〜syukka_hoho へ設計書どおりに登録される。行数が Excel の明細数と一致する</t>
        </is>
      </c>
      <c r="H17" s="44" t="inlineStr">
        <is>
          <t>実装済</t>
        </is>
      </c>
      <c r="I17" s="45" t="n"/>
      <c r="J17" s="45" t="n"/>
      <c r="K17" s="45" t="n"/>
      <c r="L17" s="45" t="n"/>
    </row>
    <row r="18" ht="29.25" customHeight="1" s="25">
      <c r="A18" s="44" t="n">
        <v>17</v>
      </c>
      <c r="B18" s="43" t="inlineStr">
        <is>
          <t>取込画面</t>
        </is>
      </c>
      <c r="C18" s="46" t="inlineStr">
        <is>
          <t>Excel解析</t>
        </is>
      </c>
      <c r="D18" s="46" t="inlineStr">
        <is>
          <t>PACKING の列の取り込み</t>
        </is>
      </c>
      <c r="E18" s="46" t="inlineStr">
        <is>
          <t>SJ-TJ7694_PAC.xls を用意する</t>
        </is>
      </c>
      <c r="F18" s="43" t="inlineStr">
        <is>
          <t>取り込みを行い、一時テーブルを確認する</t>
        </is>
      </c>
      <c r="G18" s="46" t="inlineStr">
        <is>
          <t>A〜N 列が true_or_false〜syukka_hoho へ設計書どおりに登録される</t>
        </is>
      </c>
      <c r="H18" s="44" t="inlineStr">
        <is>
          <t>実装済</t>
        </is>
      </c>
      <c r="I18" s="45" t="n"/>
      <c r="J18" s="45" t="n"/>
      <c r="K18" s="45" t="n"/>
      <c r="L18" s="45" t="n"/>
    </row>
    <row r="19" ht="29.25" customHeight="1" s="25">
      <c r="A19" s="44" t="n">
        <v>18</v>
      </c>
      <c r="B19" s="43" t="inlineStr">
        <is>
          <t>取込画面</t>
        </is>
      </c>
      <c r="C19" s="46" t="inlineStr">
        <is>
          <t>Excel解析</t>
        </is>
      </c>
      <c r="D19" s="43" t="inlineStr">
        <is>
          <t>上海コードのゼロ埋め</t>
        </is>
      </c>
      <c r="E19" s="43" t="inlineStr">
        <is>
          <t>上海コードが数値の明細を含むファイル</t>
        </is>
      </c>
      <c r="F19" s="43" t="inlineStr">
        <is>
          <t>取り込みを行う</t>
        </is>
      </c>
      <c r="G19" s="46" t="inlineStr">
        <is>
          <t>shanghai_code が 5 桁、R3_hinmoku_code が 18 桁にゼロ埋めされる</t>
        </is>
      </c>
      <c r="H19" s="44" t="inlineStr">
        <is>
          <t>実装済</t>
        </is>
      </c>
      <c r="I19" s="45" t="n"/>
      <c r="J19" s="45" t="n"/>
      <c r="K19" s="45" t="n"/>
      <c r="L19" s="45" t="n"/>
    </row>
    <row r="20" ht="15" customHeight="1" s="25">
      <c r="A20" s="44" t="n">
        <v>19</v>
      </c>
      <c r="B20" s="43" t="inlineStr">
        <is>
          <t>取込画面</t>
        </is>
      </c>
      <c r="C20" s="46" t="inlineStr">
        <is>
          <t>Excel解析</t>
        </is>
      </c>
      <c r="D20" s="43" t="inlineStr">
        <is>
          <t>購買伝票番号の補完</t>
        </is>
      </c>
      <c r="E20" s="46" t="inlineStr">
        <is>
          <t>O 列が空の明細を含むファイル</t>
        </is>
      </c>
      <c r="F20" s="43" t="inlineStr">
        <is>
          <t>取り込みを行う</t>
        </is>
      </c>
      <c r="G20" s="46" t="inlineStr">
        <is>
          <t>R3_koubai_denpyo_no が 9999999999 になる</t>
        </is>
      </c>
      <c r="H20" s="44" t="inlineStr">
        <is>
          <t>実装済</t>
        </is>
      </c>
      <c r="I20" s="45" t="n"/>
      <c r="J20" s="45" t="n"/>
      <c r="K20" s="45" t="n"/>
      <c r="L20" s="45" t="n"/>
    </row>
    <row r="21" ht="29.25" customHeight="1" s="25">
      <c r="A21" s="44" t="n">
        <v>20</v>
      </c>
      <c r="B21" s="43" t="inlineStr">
        <is>
          <t>取込画面</t>
        </is>
      </c>
      <c r="C21" s="46" t="inlineStr">
        <is>
          <t>Excel解析</t>
        </is>
      </c>
      <c r="D21" s="43" t="inlineStr">
        <is>
          <t>カートン番号の引き継ぎ</t>
        </is>
      </c>
      <c r="E21" s="46" t="inlineStr">
        <is>
          <t>PACKING の H 列が空の行を含むファイル</t>
        </is>
      </c>
      <c r="F21" s="43" t="inlineStr">
        <is>
          <t>取り込みを行う</t>
        </is>
      </c>
      <c r="G21" s="43" t="inlineStr">
        <is>
          <t>空欄の行に直前の行の開始カートン番号が引き継がれる</t>
        </is>
      </c>
      <c r="H21" s="44" t="inlineStr">
        <is>
          <t>実装済</t>
        </is>
      </c>
      <c r="I21" s="45" t="n"/>
      <c r="J21" s="45" t="n"/>
      <c r="K21" s="45" t="n"/>
      <c r="L21" s="45" t="n"/>
    </row>
    <row r="22" ht="29.25" customHeight="1" s="25">
      <c r="A22" s="44" t="n">
        <v>21</v>
      </c>
      <c r="B22" s="43" t="inlineStr">
        <is>
          <t>取込画面</t>
        </is>
      </c>
      <c r="C22" s="46" t="inlineStr">
        <is>
          <t>Excel解析</t>
        </is>
      </c>
      <c r="D22" s="43" t="inlineStr">
        <is>
          <t>終了カートン番号の重複除去</t>
        </is>
      </c>
      <c r="E22" s="46" t="inlineStr">
        <is>
          <t>PACKING の I 列が直前と同じ値の行を含むファイル</t>
        </is>
      </c>
      <c r="F22" s="43" t="inlineStr">
        <is>
          <t>取り込みを行う</t>
        </is>
      </c>
      <c r="G22" s="43" t="inlineStr">
        <is>
          <t>その行の carton_no_to が NULL になる</t>
        </is>
      </c>
      <c r="H22" s="44" t="inlineStr">
        <is>
          <t>実装済</t>
        </is>
      </c>
      <c r="I22" s="45" t="n"/>
      <c r="J22" s="45" t="n"/>
      <c r="K22" s="45" t="n"/>
      <c r="L22" s="45" t="n"/>
    </row>
    <row r="23" ht="29.25" customHeight="1" s="25">
      <c r="A23" s="44" t="n">
        <v>22</v>
      </c>
      <c r="B23" s="43" t="inlineStr">
        <is>
          <t>取込画面</t>
        </is>
      </c>
      <c r="C23" s="46" t="inlineStr">
        <is>
          <t>Excel解析</t>
        </is>
      </c>
      <c r="D23" s="43" t="inlineStr">
        <is>
          <t>数量の小数</t>
        </is>
      </c>
      <c r="E23" s="43" t="inlineStr">
        <is>
          <t>数量に小数を含むファイル</t>
        </is>
      </c>
      <c r="F23" s="43" t="inlineStr">
        <is>
          <t>取り込みを行う</t>
        </is>
      </c>
      <c r="G23" s="43" t="inlineStr">
        <is>
          <t>整数に丸めて登録される（DB の桁定義どおり。現行踏襲）</t>
        </is>
      </c>
      <c r="H23" s="44" t="inlineStr">
        <is>
          <t>実装済</t>
        </is>
      </c>
      <c r="I23" s="45" t="n"/>
      <c r="J23" s="45" t="n"/>
      <c r="K23" s="45" t="n"/>
      <c r="L23" s="45" t="n"/>
    </row>
    <row r="24" ht="29.25" customHeight="1" s="25">
      <c r="A24" s="44" t="n">
        <v>23</v>
      </c>
      <c r="B24" s="43" t="inlineStr">
        <is>
          <t>取込画面</t>
        </is>
      </c>
      <c r="C24" s="46" t="inlineStr">
        <is>
          <t>Excel解析</t>
        </is>
      </c>
      <c r="D24" s="43" t="inlineStr">
        <is>
          <t>明細が無いファイル</t>
        </is>
      </c>
      <c r="E24" s="43" t="inlineStr">
        <is>
          <t>ヘッダー行だけの Excel</t>
        </is>
      </c>
      <c r="F24" s="43" t="inlineStr">
        <is>
          <t>取り込みを行う</t>
        </is>
      </c>
      <c r="G24" s="43" t="inlineStr">
        <is>
          <t>「INVOICEのEXCELの取り込み処理のエラーです。…」が表示される</t>
        </is>
      </c>
      <c r="H24" s="44" t="inlineStr">
        <is>
          <t>実装済</t>
        </is>
      </c>
      <c r="I24" s="45" t="n"/>
      <c r="J24" s="45" t="n"/>
      <c r="K24" s="45" t="n"/>
      <c r="L24" s="45" t="n"/>
    </row>
    <row r="25" ht="29.25" customHeight="1" s="25">
      <c r="A25" s="44" t="n">
        <v>24</v>
      </c>
      <c r="B25" s="43" t="inlineStr">
        <is>
          <t>取込画面</t>
        </is>
      </c>
      <c r="C25" s="46" t="inlineStr">
        <is>
          <t>Excel解析</t>
        </is>
      </c>
      <c r="D25" s="43" t="inlineStr">
        <is>
          <t>壊れたファイル</t>
        </is>
      </c>
      <c r="E25" s="43" t="inlineStr">
        <is>
          <t>拡張子だけ .xls にしたテキストファイル</t>
        </is>
      </c>
      <c r="F25" s="43" t="inlineStr">
        <is>
          <t>取り込みを行う</t>
        </is>
      </c>
      <c r="G25" s="43" t="inlineStr">
        <is>
          <t>取り込みエラーのメッセージが表示され、画面は落ちない</t>
        </is>
      </c>
      <c r="H25" s="44" t="inlineStr">
        <is>
          <t>実装済</t>
        </is>
      </c>
      <c r="I25" s="45" t="n"/>
      <c r="J25" s="45" t="n"/>
      <c r="K25" s="45" t="n"/>
      <c r="L25" s="45" t="n"/>
    </row>
    <row r="26" ht="43.5" customHeight="1" s="25">
      <c r="A26" s="44" t="n">
        <v>25</v>
      </c>
      <c r="B26" s="43" t="inlineStr">
        <is>
          <t>取込画面</t>
        </is>
      </c>
      <c r="C26" s="46" t="inlineStr">
        <is>
          <t>Excel解析</t>
        </is>
      </c>
      <c r="D26" s="43" t="inlineStr">
        <is>
          <t>一時ファイルの削除</t>
        </is>
      </c>
      <c r="E26" s="46" t="inlineStr">
        <is>
          <t>Web.config の Atom.UploadFolderPath を確認できる状態</t>
        </is>
      </c>
      <c r="F26" s="43" t="inlineStr">
        <is>
          <t>取り込みを行い、フォルダを確認する</t>
        </is>
      </c>
      <c r="G26" s="43" t="inlineStr">
        <is>
          <t>解析後に一時ファイルが残っていない</t>
        </is>
      </c>
      <c r="H26" s="44" t="inlineStr">
        <is>
          <t>実装済</t>
        </is>
      </c>
      <c r="I26" s="45" t="n"/>
      <c r="J26" s="45" t="n"/>
      <c r="K26" s="45" t="n"/>
      <c r="L26" s="45" t="n"/>
    </row>
    <row r="27" ht="29.25" customHeight="1" s="25">
      <c r="A27" s="44" t="n">
        <v>26</v>
      </c>
      <c r="B27" s="43" t="inlineStr">
        <is>
          <t>取込画面</t>
        </is>
      </c>
      <c r="C27" s="46" t="inlineStr">
        <is>
          <t>REF_NO</t>
        </is>
      </c>
      <c r="D27" s="46" t="inlineStr">
        <is>
          <t>REF_NO の表示</t>
        </is>
      </c>
      <c r="E27" s="43" t="inlineStr">
        <is>
          <t>正常なファイル</t>
        </is>
      </c>
      <c r="F27" s="43" t="inlineStr">
        <is>
          <t>取り込みを行う</t>
        </is>
      </c>
      <c r="G27" s="43" t="inlineStr">
        <is>
          <t>取込対象の INVOICE 番号から編集された文字列が REF_NO に表示される</t>
        </is>
      </c>
      <c r="H27" s="44" t="inlineStr">
        <is>
          <t>実装済</t>
        </is>
      </c>
      <c r="I27" s="45" t="n"/>
      <c r="J27" s="45" t="n"/>
      <c r="K27" s="45" t="n"/>
      <c r="L27" s="45" t="n"/>
    </row>
    <row r="28" ht="29.25" customHeight="1" s="25">
      <c r="A28" s="44" t="n">
        <v>27</v>
      </c>
      <c r="B28" s="43" t="inlineStr">
        <is>
          <t>取込画面</t>
        </is>
      </c>
      <c r="C28" s="43" t="inlineStr">
        <is>
          <t>確認</t>
        </is>
      </c>
      <c r="D28" s="43" t="inlineStr">
        <is>
          <t>翌月以降の BL DATE</t>
        </is>
      </c>
      <c r="E28" s="46" t="inlineStr">
        <is>
          <t>BL DATE が翌月以降の明細を含むファイル</t>
        </is>
      </c>
      <c r="F28" s="43" t="inlineStr">
        <is>
          <t>取り込みを行う</t>
        </is>
      </c>
      <c r="G28" s="43" t="inlineStr">
        <is>
          <t>「翌月以降のBL DATEのINVOICEです。…」が表示され、中断する／続行する が選べる</t>
        </is>
      </c>
      <c r="H28" s="44" t="inlineStr">
        <is>
          <t>実装済</t>
        </is>
      </c>
      <c r="I28" s="45" t="n"/>
      <c r="J28" s="45" t="n"/>
      <c r="K28" s="45" t="n"/>
      <c r="L28" s="45" t="n"/>
    </row>
    <row r="29" ht="15" customHeight="1" s="25">
      <c r="A29" s="44" t="n">
        <v>28</v>
      </c>
      <c r="B29" s="43" t="inlineStr">
        <is>
          <t>取込画面</t>
        </is>
      </c>
      <c r="C29" s="43" t="inlineStr">
        <is>
          <t>確認</t>
        </is>
      </c>
      <c r="D29" s="43" t="inlineStr">
        <is>
          <t>翌月以降で中断する</t>
        </is>
      </c>
      <c r="E29" s="43" t="inlineStr">
        <is>
          <t>上記の確認が表示されている</t>
        </is>
      </c>
      <c r="F29" s="43" t="inlineStr">
        <is>
          <t>「中断する」を押す</t>
        </is>
      </c>
      <c r="G29" s="43" t="inlineStr">
        <is>
          <t>以降の処理を行わず、画面に留まる。本登録されない</t>
        </is>
      </c>
      <c r="H29" s="44" t="inlineStr">
        <is>
          <t>実装済</t>
        </is>
      </c>
      <c r="I29" s="45" t="n"/>
      <c r="J29" s="45" t="n"/>
      <c r="K29" s="45" t="n"/>
      <c r="L29" s="45" t="n"/>
    </row>
    <row r="30" ht="15" customHeight="1" s="25">
      <c r="A30" s="44" t="n">
        <v>29</v>
      </c>
      <c r="B30" s="43" t="inlineStr">
        <is>
          <t>取込画面</t>
        </is>
      </c>
      <c r="C30" s="43" t="inlineStr">
        <is>
          <t>確認</t>
        </is>
      </c>
      <c r="D30" s="43" t="inlineStr">
        <is>
          <t>翌月以降で続行する</t>
        </is>
      </c>
      <c r="E30" s="43" t="inlineStr">
        <is>
          <t>上記の確認が表示されている</t>
        </is>
      </c>
      <c r="F30" s="43" t="inlineStr">
        <is>
          <t>「続行する」を押す</t>
        </is>
      </c>
      <c r="G30" s="43" t="inlineStr">
        <is>
          <t>登録済みチェックへ進む</t>
        </is>
      </c>
      <c r="H30" s="44" t="inlineStr">
        <is>
          <t>実装済</t>
        </is>
      </c>
      <c r="I30" s="45" t="n"/>
      <c r="J30" s="45" t="n"/>
      <c r="K30" s="45" t="n"/>
      <c r="L30" s="45" t="n"/>
    </row>
    <row r="31" ht="29.25" customHeight="1" s="25">
      <c r="A31" s="44" t="n">
        <v>30</v>
      </c>
      <c r="B31" s="43" t="inlineStr">
        <is>
          <t>取込画面</t>
        </is>
      </c>
      <c r="C31" s="43" t="inlineStr">
        <is>
          <t>確認</t>
        </is>
      </c>
      <c r="D31" s="43" t="inlineStr">
        <is>
          <t>登録済みの確認</t>
        </is>
      </c>
      <c r="E31" s="43" t="inlineStr">
        <is>
          <t>同じ INVOICE を登録済み</t>
        </is>
      </c>
      <c r="F31" s="43" t="inlineStr">
        <is>
          <t>取り込みを行う</t>
        </is>
      </c>
      <c r="G31" s="43" t="inlineStr">
        <is>
          <t>「登録済みのINVOICEです。…」が表示され、置換する／追加する／キャンセル が選べる</t>
        </is>
      </c>
      <c r="H31" s="44" t="inlineStr">
        <is>
          <t>実装済</t>
        </is>
      </c>
      <c r="I31" s="45" t="n"/>
      <c r="J31" s="45" t="n"/>
      <c r="K31" s="45" t="n"/>
      <c r="L31" s="45" t="n"/>
    </row>
    <row r="32" ht="15" customHeight="1" s="25">
      <c r="A32" s="44" t="n">
        <v>31</v>
      </c>
      <c r="B32" s="43" t="inlineStr">
        <is>
          <t>取込画面</t>
        </is>
      </c>
      <c r="C32" s="43" t="inlineStr">
        <is>
          <t>確認</t>
        </is>
      </c>
      <c r="D32" s="43" t="inlineStr">
        <is>
          <t>登録済みでキャンセル</t>
        </is>
      </c>
      <c r="E32" s="43" t="inlineStr">
        <is>
          <t>上記の確認が表示されている</t>
        </is>
      </c>
      <c r="F32" s="43" t="inlineStr">
        <is>
          <t>「キャンセル」を押す</t>
        </is>
      </c>
      <c r="G32" s="43" t="inlineStr">
        <is>
          <t>処理を行わず画面に留まる。既存データは変わらない</t>
        </is>
      </c>
      <c r="H32" s="44" t="inlineStr">
        <is>
          <t>実装済</t>
        </is>
      </c>
      <c r="I32" s="45" t="n"/>
      <c r="J32" s="45" t="n"/>
      <c r="K32" s="45" t="n"/>
      <c r="L32" s="45" t="n"/>
    </row>
    <row r="33" ht="29.25" customHeight="1" s="25">
      <c r="A33" s="44" t="n">
        <v>32</v>
      </c>
      <c r="B33" s="43" t="inlineStr">
        <is>
          <t>取込画面</t>
        </is>
      </c>
      <c r="C33" s="43" t="inlineStr">
        <is>
          <t>確認</t>
        </is>
      </c>
      <c r="D33" s="46" t="inlineStr">
        <is>
          <t>WARNING の確認</t>
        </is>
      </c>
      <c r="E33" s="43" t="inlineStr">
        <is>
          <t>警告が出るデータ（購買伝票番号なし等）を含むファイル</t>
        </is>
      </c>
      <c r="F33" s="43" t="inlineStr">
        <is>
          <t>取り込みを行う</t>
        </is>
      </c>
      <c r="G33" s="43" t="inlineStr">
        <is>
          <t>「WARNINGデータがあります。…」が表示され、このまま取り込む／キャンセル が選べる</t>
        </is>
      </c>
      <c r="H33" s="44" t="inlineStr">
        <is>
          <t>実装済</t>
        </is>
      </c>
      <c r="I33" s="45" t="n"/>
      <c r="J33" s="45" t="n"/>
      <c r="K33" s="45" t="n"/>
      <c r="L33" s="45" t="n"/>
    </row>
    <row r="34" ht="29.25" customHeight="1" s="25">
      <c r="A34" s="44" t="n">
        <v>33</v>
      </c>
      <c r="B34" s="43" t="inlineStr">
        <is>
          <t>取込画面</t>
        </is>
      </c>
      <c r="C34" s="43" t="inlineStr">
        <is>
          <t>確認</t>
        </is>
      </c>
      <c r="D34" s="43" t="inlineStr">
        <is>
          <t>正常時の確認</t>
        </is>
      </c>
      <c r="E34" s="43" t="inlineStr">
        <is>
          <t>エラーも警告も無いファイル</t>
        </is>
      </c>
      <c r="F34" s="43" t="inlineStr">
        <is>
          <t>取り込みを行う</t>
        </is>
      </c>
      <c r="G34" s="43" t="inlineStr">
        <is>
          <t>「内容の確認を行いますか？」が表示され、中断して確認する／このまま取り込む が選べる</t>
        </is>
      </c>
      <c r="H34" s="44" t="inlineStr">
        <is>
          <t>実装済</t>
        </is>
      </c>
      <c r="I34" s="45" t="n"/>
      <c r="J34" s="45" t="n"/>
      <c r="K34" s="45" t="n"/>
      <c r="L34" s="45" t="n"/>
    </row>
    <row r="35" ht="29.25" customHeight="1" s="25">
      <c r="A35" s="44" t="n">
        <v>34</v>
      </c>
      <c r="B35" s="43" t="inlineStr">
        <is>
          <t>取込画面</t>
        </is>
      </c>
      <c r="C35" s="43" t="inlineStr">
        <is>
          <t>チェック</t>
        </is>
      </c>
      <c r="D35" s="46" t="inlineStr">
        <is>
          <t>ERROR がある場合</t>
        </is>
      </c>
      <c r="E35" s="46" t="inlineStr">
        <is>
          <t>PO 無しなどエラーになる明細を含むファイル</t>
        </is>
      </c>
      <c r="F35" s="43" t="inlineStr">
        <is>
          <t>取り込みを行う</t>
        </is>
      </c>
      <c r="G35" s="43" t="inlineStr">
        <is>
          <t>「エラーデータがあります。EXCELを確認してください。」が表示され、本登録されない</t>
        </is>
      </c>
      <c r="H35" s="44" t="inlineStr">
        <is>
          <t>実装済</t>
        </is>
      </c>
      <c r="I35" s="45" t="n"/>
      <c r="J35" s="45" t="n"/>
      <c r="K35" s="45" t="n"/>
      <c r="L35" s="45" t="n"/>
    </row>
    <row r="36" ht="29.25" customHeight="1" s="25">
      <c r="A36" s="44" t="n">
        <v>35</v>
      </c>
      <c r="B36" s="43" t="inlineStr">
        <is>
          <t>取込画面</t>
        </is>
      </c>
      <c r="C36" s="43" t="inlineStr">
        <is>
          <t>チェック</t>
        </is>
      </c>
      <c r="D36" s="46" t="inlineStr">
        <is>
          <t>PO の重複</t>
        </is>
      </c>
      <c r="E36" s="46" t="inlineStr">
        <is>
          <t>1つの PO が複数 INVOICE に分かれているファイル</t>
        </is>
      </c>
      <c r="F36" s="43" t="inlineStr">
        <is>
          <t>取り込みを行う</t>
        </is>
      </c>
      <c r="G36" s="43" t="inlineStr">
        <is>
          <t>「複数INVOICEに分かれているPOがあります。…」が表示され、本登録されない</t>
        </is>
      </c>
      <c r="H36" s="44" t="inlineStr">
        <is>
          <t>実装済</t>
        </is>
      </c>
      <c r="I36" s="45" t="n"/>
      <c r="J36" s="45" t="n"/>
      <c r="K36" s="45" t="n"/>
      <c r="L36" s="45" t="n"/>
    </row>
    <row r="37" ht="15" customHeight="1" s="25">
      <c r="A37" s="44" t="n">
        <v>36</v>
      </c>
      <c r="B37" s="43" t="inlineStr">
        <is>
          <t>取込画面</t>
        </is>
      </c>
      <c r="C37" s="43" t="inlineStr">
        <is>
          <t>チェック</t>
        </is>
      </c>
      <c r="D37" s="43" t="inlineStr">
        <is>
          <t>貿易のときは PO 重複を見ない</t>
        </is>
      </c>
      <c r="E37" s="43" t="inlineStr">
        <is>
          <t>担当に「貿易」を選ぶ</t>
        </is>
      </c>
      <c r="F37" s="43" t="inlineStr">
        <is>
          <t>取り込みを行う</t>
        </is>
      </c>
      <c r="G37" s="46" t="inlineStr">
        <is>
          <t>PO 重複チェックが行われず、後続のチェックへ進む</t>
        </is>
      </c>
      <c r="H37" s="44" t="inlineStr">
        <is>
          <t>実装済</t>
        </is>
      </c>
      <c r="I37" s="45" t="n"/>
      <c r="J37" s="45" t="n"/>
      <c r="K37" s="45" t="n"/>
      <c r="L37" s="45" t="n"/>
    </row>
    <row r="38" ht="29.25" customHeight="1" s="25">
      <c r="A38" s="44" t="n">
        <v>37</v>
      </c>
      <c r="B38" s="43" t="inlineStr">
        <is>
          <t>取込画面</t>
        </is>
      </c>
      <c r="C38" s="43" t="inlineStr">
        <is>
          <t>チェック</t>
        </is>
      </c>
      <c r="D38" s="43" t="inlineStr">
        <is>
          <t>エラー時は遷移しない</t>
        </is>
      </c>
      <c r="E38" s="43" t="inlineStr">
        <is>
          <t>エラーがあるファイル</t>
        </is>
      </c>
      <c r="F38" s="43" t="inlineStr">
        <is>
          <t>取り込みを行う</t>
        </is>
      </c>
      <c r="G38" s="43" t="inlineStr">
        <is>
          <t>画面は取込画面に留まる。エラーのメッセージに続いて「「取込内容確認」を押すと別のタブで内容を確認できます。直したあとは「チェック→登録」を押してください。」が表示される</t>
        </is>
      </c>
      <c r="H38" s="47" t="inlineStr">
        <is>
          <t>未実装</t>
        </is>
      </c>
      <c r="I38" s="45" t="n"/>
      <c r="J38" s="45" t="n"/>
      <c r="K38" s="45" t="n"/>
      <c r="L38" s="45" t="n"/>
    </row>
    <row r="39" ht="29.25" customHeight="1" s="25">
      <c r="A39" s="44" t="n">
        <v>38</v>
      </c>
      <c r="B39" s="43" t="inlineStr">
        <is>
          <t>取込画面</t>
        </is>
      </c>
      <c r="C39" s="43" t="inlineStr">
        <is>
          <t>本登録</t>
        </is>
      </c>
      <c r="D39" s="43" t="inlineStr">
        <is>
          <t>正常な本登録</t>
        </is>
      </c>
      <c r="E39" s="43" t="inlineStr">
        <is>
          <t>エラーも警告も無いファイル</t>
        </is>
      </c>
      <c r="F39" s="43" t="inlineStr">
        <is>
          <t>確認で「このまま取り込む」を押す</t>
        </is>
      </c>
      <c r="G39" s="43" t="inlineStr">
        <is>
          <t>明細・ヘッダ・進捗が登録され、「処理終了しました。」が表示される。画面は取込画面のまま</t>
        </is>
      </c>
      <c r="H39" s="44" t="inlineStr">
        <is>
          <t>実装済</t>
        </is>
      </c>
      <c r="I39" s="45" t="n"/>
      <c r="J39" s="45" t="n"/>
      <c r="K39" s="45" t="n"/>
      <c r="L39" s="45" t="n"/>
    </row>
    <row r="40" ht="29.25" customHeight="1" s="25">
      <c r="A40" s="44" t="n">
        <v>39</v>
      </c>
      <c r="B40" s="43" t="inlineStr">
        <is>
          <t>取込画面</t>
        </is>
      </c>
      <c r="C40" s="43" t="inlineStr">
        <is>
          <t>本登録</t>
        </is>
      </c>
      <c r="D40" s="46" t="inlineStr">
        <is>
          <t>INVOICE 明細の登録内容</t>
        </is>
      </c>
      <c r="E40" s="43" t="inlineStr">
        <is>
          <t>上記の直後</t>
        </is>
      </c>
      <c r="F40" s="46" t="inlineStr">
        <is>
          <t>tbl_t_shanghai_invoice_meisai を確認する</t>
        </is>
      </c>
      <c r="G40" s="46" t="inlineStr">
        <is>
          <t>pk_invoice_no_main が INVOICE 番号から正しく切り出されている（9文字目が数値なら9文字）</t>
        </is>
      </c>
      <c r="H40" s="44" t="inlineStr">
        <is>
          <t>実装済</t>
        </is>
      </c>
      <c r="I40" s="45" t="n"/>
      <c r="J40" s="45" t="n"/>
      <c r="K40" s="45" t="n"/>
      <c r="L40" s="45" t="n"/>
    </row>
    <row r="41" ht="43.5" customHeight="1" s="25">
      <c r="A41" s="44" t="n">
        <v>40</v>
      </c>
      <c r="B41" s="43" t="inlineStr">
        <is>
          <t>取込画面</t>
        </is>
      </c>
      <c r="C41" s="43" t="inlineStr">
        <is>
          <t>本登録</t>
        </is>
      </c>
      <c r="D41" s="43" t="inlineStr">
        <is>
          <t>ヘッダの登録内容</t>
        </is>
      </c>
      <c r="E41" s="43" t="inlineStr">
        <is>
          <t>上記の直後</t>
        </is>
      </c>
      <c r="F41" s="46" t="inlineStr">
        <is>
          <t>tbl_t_shanghai_invoice_header を確認する</t>
        </is>
      </c>
      <c r="G41" s="46" t="inlineStr">
        <is>
          <t>bl_date・syukka_hoho・carton_qty が集計値、shiiresaki_code が発注先に対応した値、ref_no と vessel が NULL</t>
        </is>
      </c>
      <c r="H41" s="44" t="inlineStr">
        <is>
          <t>実装済</t>
        </is>
      </c>
      <c r="I41" s="45" t="n"/>
      <c r="J41" s="45" t="n"/>
      <c r="K41" s="45" t="n"/>
      <c r="L41" s="45" t="n"/>
    </row>
    <row r="42" ht="29.25" customHeight="1" s="25">
      <c r="A42" s="44" t="n">
        <v>41</v>
      </c>
      <c r="B42" s="43" t="inlineStr">
        <is>
          <t>取込画面</t>
        </is>
      </c>
      <c r="C42" s="43" t="inlineStr">
        <is>
          <t>本登録</t>
        </is>
      </c>
      <c r="D42" s="43" t="inlineStr">
        <is>
          <t>仕入先コードの対応</t>
        </is>
      </c>
      <c r="E42" s="43" t="inlineStr">
        <is>
          <t>発注先＝上海タジマ／通貨＝JPY</t>
        </is>
      </c>
      <c r="F42" s="43" t="inlineStr">
        <is>
          <t>本登録を行う</t>
        </is>
      </c>
      <c r="G42" s="46" t="inlineStr">
        <is>
          <t>shiiresaki_code が 133128 で登録される（庸助貿易なら 143534）</t>
        </is>
      </c>
      <c r="H42" s="44" t="inlineStr">
        <is>
          <t>実装済</t>
        </is>
      </c>
      <c r="I42" s="45" t="n"/>
      <c r="J42" s="45" t="n"/>
      <c r="K42" s="45" t="n"/>
      <c r="L42" s="45" t="n"/>
    </row>
    <row r="43" ht="29.25" customHeight="1" s="25">
      <c r="A43" s="44" t="n">
        <v>42</v>
      </c>
      <c r="B43" s="43" t="inlineStr">
        <is>
          <t>取込画面</t>
        </is>
      </c>
      <c r="C43" s="43" t="inlineStr">
        <is>
          <t>本登録</t>
        </is>
      </c>
      <c r="D43" s="43" t="inlineStr">
        <is>
          <t>置換の動作</t>
        </is>
      </c>
      <c r="E43" s="43" t="inlineStr">
        <is>
          <t>登録済みの INVOICE</t>
        </is>
      </c>
      <c r="F43" s="43" t="inlineStr">
        <is>
          <t>確認で「置換する」を選び本登録する</t>
        </is>
      </c>
      <c r="G43" s="43" t="inlineStr">
        <is>
          <t>既存のヘッダ・ヘッダサブ・明細が削除されたうえで、今回の内容が登録される。ヘッダは1件だけ</t>
        </is>
      </c>
      <c r="H43" s="44" t="inlineStr">
        <is>
          <t>実装済</t>
        </is>
      </c>
      <c r="I43" s="45" t="n"/>
      <c r="J43" s="45" t="n"/>
      <c r="K43" s="45" t="n"/>
      <c r="L43" s="45" t="n"/>
    </row>
    <row r="44" ht="15" customHeight="1" s="25">
      <c r="A44" s="44" t="n">
        <v>43</v>
      </c>
      <c r="B44" s="43" t="inlineStr">
        <is>
          <t>取込画面</t>
        </is>
      </c>
      <c r="C44" s="43" t="inlineStr">
        <is>
          <t>本登録</t>
        </is>
      </c>
      <c r="D44" s="43" t="inlineStr">
        <is>
          <t>追加の動作</t>
        </is>
      </c>
      <c r="E44" s="43" t="inlineStr">
        <is>
          <t>登録済みの INVOICE</t>
        </is>
      </c>
      <c r="F44" s="43" t="inlineStr">
        <is>
          <t>確認で「追加する」を選び本登録する</t>
        </is>
      </c>
      <c r="G44" s="43" t="inlineStr">
        <is>
          <t>既存データは削除されず、ヘッダも二重に作られない</t>
        </is>
      </c>
      <c r="H44" s="44" t="inlineStr">
        <is>
          <t>実装済</t>
        </is>
      </c>
      <c r="I44" s="45" t="n"/>
      <c r="J44" s="45" t="n"/>
      <c r="K44" s="45" t="n"/>
      <c r="L44" s="45" t="n"/>
    </row>
    <row r="45" ht="43.5" customHeight="1" s="25">
      <c r="A45" s="44" t="n">
        <v>44</v>
      </c>
      <c r="B45" s="43" t="inlineStr">
        <is>
          <t>取込画面</t>
        </is>
      </c>
      <c r="C45" s="43" t="inlineStr">
        <is>
          <t>本登録</t>
        </is>
      </c>
      <c r="D45" s="43" t="inlineStr">
        <is>
          <t>明細が登録されない場合</t>
        </is>
      </c>
      <c r="E45" s="43" t="inlineStr">
        <is>
          <t>全明細がチェックで除外されるファイル</t>
        </is>
      </c>
      <c r="F45" s="43" t="inlineStr">
        <is>
          <t>本登録を行う</t>
        </is>
      </c>
      <c r="G45" s="43" t="inlineStr">
        <is>
          <t>「INVOICE、PACKINGの取込に失敗しました。…」が表示され、ヘッダも進捗も登録されない（ロールバック）</t>
        </is>
      </c>
      <c r="H45" s="44" t="inlineStr">
        <is>
          <t>実装済</t>
        </is>
      </c>
      <c r="I45" s="45" t="n"/>
      <c r="J45" s="45" t="n"/>
      <c r="K45" s="45" t="n"/>
      <c r="L45" s="45" t="n"/>
    </row>
    <row r="46" ht="29.25" customHeight="1" s="25">
      <c r="A46" s="44" t="n">
        <v>45</v>
      </c>
      <c r="B46" s="43" t="inlineStr">
        <is>
          <t>取込画面</t>
        </is>
      </c>
      <c r="C46" s="43" t="inlineStr">
        <is>
          <t>本登録</t>
        </is>
      </c>
      <c r="D46" s="43" t="inlineStr">
        <is>
          <t>途中でエラーが起きた場合</t>
        </is>
      </c>
      <c r="E46" s="43" t="inlineStr">
        <is>
          <t>本登録の途中で DB を停止する</t>
        </is>
      </c>
      <c r="F46" s="43" t="inlineStr">
        <is>
          <t>本登録を行う</t>
        </is>
      </c>
      <c r="G46" s="43" t="inlineStr">
        <is>
          <t>すべてロールバックされ、明細だけが残るような中途半端な状態にならない</t>
        </is>
      </c>
      <c r="H46" s="44" t="inlineStr">
        <is>
          <t>実装済</t>
        </is>
      </c>
      <c r="I46" s="45" t="n"/>
      <c r="J46" s="45" t="n"/>
      <c r="K46" s="45" t="n"/>
      <c r="L46" s="45" t="n"/>
    </row>
    <row r="47" ht="29.25" customHeight="1" s="25">
      <c r="A47" s="44" t="n">
        <v>46</v>
      </c>
      <c r="B47" s="43" t="inlineStr">
        <is>
          <t>取込画面</t>
        </is>
      </c>
      <c r="C47" s="43" t="inlineStr">
        <is>
          <t>進捗更新</t>
        </is>
      </c>
      <c r="D47" s="43" t="inlineStr">
        <is>
          <t>進捗データの新規作成</t>
        </is>
      </c>
      <c r="E47" s="43" t="inlineStr">
        <is>
          <t>進捗が未登録の INVOICE</t>
        </is>
      </c>
      <c r="F47" s="43" t="inlineStr">
        <is>
          <t>本登録を行う</t>
        </is>
      </c>
      <c r="G47" s="46" t="inlineStr">
        <is>
          <t>tbl_t_import_progress に1件登録され、syurui が出荷方法＋1、syukko_ymd が BL DATE になる</t>
        </is>
      </c>
      <c r="H47" s="44" t="inlineStr">
        <is>
          <t>実装済</t>
        </is>
      </c>
      <c r="I47" s="45" t="n"/>
      <c r="J47" s="45" t="n"/>
      <c r="K47" s="45" t="n"/>
      <c r="L47" s="45" t="n"/>
    </row>
    <row r="48" ht="29.25" customHeight="1" s="25">
      <c r="A48" s="44" t="n">
        <v>47</v>
      </c>
      <c r="B48" s="43" t="inlineStr">
        <is>
          <t>取込画面</t>
        </is>
      </c>
      <c r="C48" s="43" t="inlineStr">
        <is>
          <t>進捗更新</t>
        </is>
      </c>
      <c r="D48" s="43" t="inlineStr">
        <is>
          <t>進捗データの更新</t>
        </is>
      </c>
      <c r="E48" s="43" t="inlineStr">
        <is>
          <t>進捗が登録済みで shanghai_header_ymd が NULL</t>
        </is>
      </c>
      <c r="F48" s="43" t="inlineStr">
        <is>
          <t>本登録を行う</t>
        </is>
      </c>
      <c r="G48" s="46" t="inlineStr">
        <is>
          <t>shanghai_syorui_ymd と shanghai_header_ymd に当日、shinchoku_jyokyo に 3 が設定される</t>
        </is>
      </c>
      <c r="H48" s="44" t="inlineStr">
        <is>
          <t>実装済</t>
        </is>
      </c>
      <c r="I48" s="45" t="n"/>
      <c r="J48" s="45" t="n"/>
      <c r="K48" s="45" t="n"/>
      <c r="L48" s="45" t="n"/>
    </row>
    <row r="49" ht="29.25" customHeight="1" s="25">
      <c r="A49" s="44" t="n">
        <v>48</v>
      </c>
      <c r="B49" s="43" t="inlineStr">
        <is>
          <t>取込画面</t>
        </is>
      </c>
      <c r="C49" s="43" t="inlineStr">
        <is>
          <t>進捗更新</t>
        </is>
      </c>
      <c r="D49" s="43" t="inlineStr">
        <is>
          <t>二重更新の防止</t>
        </is>
      </c>
      <c r="E49" s="46" t="inlineStr">
        <is>
          <t>shanghai_header_ymd が設定済み</t>
        </is>
      </c>
      <c r="F49" s="43" t="inlineStr">
        <is>
          <t>同じ INVOICE で本登録を行う</t>
        </is>
      </c>
      <c r="G49" s="43" t="inlineStr">
        <is>
          <t>進捗の日付が上書きされない</t>
        </is>
      </c>
      <c r="H49" s="44" t="inlineStr">
        <is>
          <t>実装済</t>
        </is>
      </c>
      <c r="I49" s="45" t="n"/>
      <c r="J49" s="45" t="n"/>
      <c r="K49" s="45" t="n"/>
      <c r="L49" s="45" t="n"/>
    </row>
    <row r="50" ht="29.25" customHeight="1" s="25">
      <c r="A50" s="44" t="n">
        <v>49</v>
      </c>
      <c r="B50" s="43" t="inlineStr">
        <is>
          <t>取込画面</t>
        </is>
      </c>
      <c r="C50" s="43" t="inlineStr">
        <is>
          <t>チェック→登録</t>
        </is>
      </c>
      <c r="D50" s="43" t="inlineStr">
        <is>
          <t>取込データが無い状態</t>
        </is>
      </c>
      <c r="E50" s="43" t="inlineStr">
        <is>
          <t>一度も取り込んでいない</t>
        </is>
      </c>
      <c r="F50" s="43" t="inlineStr">
        <is>
          <t>「チェック→登録」を押す</t>
        </is>
      </c>
      <c r="G50" s="43" t="inlineStr">
        <is>
          <t>「取込データがありません。先に取り込みを行ってください。」が表示される</t>
        </is>
      </c>
      <c r="H50" s="44" t="inlineStr">
        <is>
          <t>実装済</t>
        </is>
      </c>
      <c r="I50" s="45" t="n"/>
      <c r="J50" s="45" t="n"/>
      <c r="K50" s="45" t="n"/>
      <c r="L50" s="45" t="n"/>
    </row>
    <row r="51" ht="15" customHeight="1" s="25">
      <c r="A51" s="44" t="n">
        <v>50</v>
      </c>
      <c r="B51" s="43" t="inlineStr">
        <is>
          <t>取込画面</t>
        </is>
      </c>
      <c r="C51" s="43" t="inlineStr">
        <is>
          <t>チェック→登録</t>
        </is>
      </c>
      <c r="D51" s="43" t="inlineStr">
        <is>
          <t>取込済みデータへの再実行</t>
        </is>
      </c>
      <c r="E51" s="43" t="inlineStr">
        <is>
          <t>取り込み済み</t>
        </is>
      </c>
      <c r="F51" s="43" t="inlineStr">
        <is>
          <t>「チェック→登録」を押す</t>
        </is>
      </c>
      <c r="G51" s="46" t="inlineStr">
        <is>
          <t>Excel を読み直さずに、チェックから処理が再開される</t>
        </is>
      </c>
      <c r="H51" s="44" t="inlineStr">
        <is>
          <t>実装済</t>
        </is>
      </c>
      <c r="I51" s="45" t="n"/>
      <c r="J51" s="45" t="n"/>
      <c r="K51" s="45" t="n"/>
      <c r="L51" s="45" t="n"/>
    </row>
    <row r="52" ht="29.25" customHeight="1" s="25">
      <c r="A52" s="44" t="n">
        <v>51</v>
      </c>
      <c r="B52" s="43" t="inlineStr">
        <is>
          <t>取込画面</t>
        </is>
      </c>
      <c r="C52" s="43" t="inlineStr">
        <is>
          <t>二重実行防止</t>
        </is>
      </c>
      <c r="D52" s="43" t="inlineStr">
        <is>
          <t>処理中の表示</t>
        </is>
      </c>
      <c r="E52" s="46" t="inlineStr">
        <is>
          <t>-</t>
        </is>
      </c>
      <c r="F52" s="43" t="inlineStr">
        <is>
          <t>「取り込み」を押す</t>
        </is>
      </c>
      <c r="G52" s="43" t="inlineStr">
        <is>
          <t>「INVOICE/PACKINGファイルを取り込んでいます。…」が表示され、ボタンが押せなくなる</t>
        </is>
      </c>
      <c r="H52" s="44" t="inlineStr">
        <is>
          <t>実装済</t>
        </is>
      </c>
      <c r="I52" s="45" t="n"/>
      <c r="J52" s="45" t="n"/>
      <c r="K52" s="45" t="n"/>
      <c r="L52" s="45" t="n"/>
    </row>
    <row r="53" ht="15" customHeight="1" s="25">
      <c r="A53" s="44" t="n">
        <v>52</v>
      </c>
      <c r="B53" s="43" t="inlineStr">
        <is>
          <t>取込画面</t>
        </is>
      </c>
      <c r="C53" s="43" t="inlineStr">
        <is>
          <t>二重実行防止</t>
        </is>
      </c>
      <c r="D53" s="43" t="inlineStr">
        <is>
          <t>連打による二重登録</t>
        </is>
      </c>
      <c r="E53" s="46" t="inlineStr">
        <is>
          <t>-</t>
        </is>
      </c>
      <c r="F53" s="43" t="inlineStr">
        <is>
          <t>「取り込み」を素早く2回以上押す</t>
        </is>
      </c>
      <c r="G53" s="43" t="inlineStr">
        <is>
          <t>処理は1回だけ実行され、明細が二重に登録されない</t>
        </is>
      </c>
      <c r="H53" s="44" t="inlineStr">
        <is>
          <t>実装済</t>
        </is>
      </c>
      <c r="I53" s="45" t="n"/>
      <c r="J53" s="45" t="n"/>
      <c r="K53" s="45" t="n"/>
      <c r="L53" s="45" t="n"/>
    </row>
    <row r="54" ht="15" customHeight="1" s="25">
      <c r="A54" s="44" t="n">
        <v>53</v>
      </c>
      <c r="B54" s="43" t="inlineStr">
        <is>
          <t>取込画面</t>
        </is>
      </c>
      <c r="C54" s="43" t="inlineStr">
        <is>
          <t>遷移</t>
        </is>
      </c>
      <c r="D54" s="43" t="inlineStr">
        <is>
          <t>取込内容確認リンク</t>
        </is>
      </c>
      <c r="E54" s="46" t="inlineStr">
        <is>
          <t>-</t>
        </is>
      </c>
      <c r="F54" s="43" t="inlineStr">
        <is>
          <t>「取込内容確認」を押す</t>
        </is>
      </c>
      <c r="G54" s="43" t="inlineStr">
        <is>
          <t>取込内容確認画面が別のタブで開く。取込画面のタブは残り、発注先・通貨・担当・REF_NO の表示がそのまま維持される</t>
        </is>
      </c>
      <c r="H54" s="47" t="inlineStr">
        <is>
          <t>未実装</t>
        </is>
      </c>
      <c r="I54" s="45" t="n"/>
      <c r="J54" s="45" t="n"/>
      <c r="K54" s="45" t="n"/>
      <c r="L54" s="45" t="n"/>
    </row>
    <row r="55" ht="15" customHeight="1" s="25">
      <c r="A55" s="44" t="n">
        <v>54</v>
      </c>
      <c r="B55" s="43" t="inlineStr">
        <is>
          <t>取込画面</t>
        </is>
      </c>
      <c r="C55" s="43" t="inlineStr">
        <is>
          <t>異常系</t>
        </is>
      </c>
      <c r="D55" s="43" t="inlineStr">
        <is>
          <t>サイズ超過のファイル</t>
        </is>
      </c>
      <c r="E55" s="46" t="inlineStr">
        <is>
          <t>10MB を超える Excel</t>
        </is>
      </c>
      <c r="F55" s="43" t="inlineStr">
        <is>
          <t>取り込みを行う</t>
        </is>
      </c>
      <c r="G55" s="43" t="inlineStr">
        <is>
          <t>エラーとなり、画面に例外の詳細が表示されない</t>
        </is>
      </c>
      <c r="H55" s="44" t="inlineStr">
        <is>
          <t>実装済</t>
        </is>
      </c>
      <c r="I55" s="45" t="n"/>
      <c r="J55" s="45" t="n"/>
      <c r="K55" s="45" t="n"/>
      <c r="L55" s="45" t="n"/>
    </row>
    <row r="56" ht="29.25" customHeight="1" s="25">
      <c r="A56" s="44" t="n">
        <v>55</v>
      </c>
      <c r="B56" s="43" t="inlineStr">
        <is>
          <t>取込画面</t>
        </is>
      </c>
      <c r="C56" s="43" t="inlineStr">
        <is>
          <t>異常系</t>
        </is>
      </c>
      <c r="D56" s="43" t="inlineStr">
        <is>
          <t>アップロード先が存在しない</t>
        </is>
      </c>
      <c r="E56" s="46" t="inlineStr">
        <is>
          <t>Atom.UploadFolderPath のフォルダを削除する</t>
        </is>
      </c>
      <c r="F56" s="43" t="inlineStr">
        <is>
          <t>取り込みを行う</t>
        </is>
      </c>
      <c r="G56" s="43" t="inlineStr">
        <is>
          <t>フォルダが自動作成され、処理が正常に進む</t>
        </is>
      </c>
      <c r="H56" s="44" t="inlineStr">
        <is>
          <t>実装済</t>
        </is>
      </c>
      <c r="I56" s="45" t="n"/>
      <c r="J56" s="45" t="n"/>
      <c r="K56" s="45" t="n"/>
      <c r="L56" s="45" t="n"/>
    </row>
    <row r="57" ht="29.25" customHeight="1" s="25">
      <c r="A57" s="44" t="n">
        <v>56</v>
      </c>
      <c r="B57" s="43" t="inlineStr">
        <is>
          <t>取込画面</t>
        </is>
      </c>
      <c r="C57" s="43" t="inlineStr">
        <is>
          <t>異常系</t>
        </is>
      </c>
      <c r="D57" s="46" t="inlineStr">
        <is>
          <t>DB へ接続できない</t>
        </is>
      </c>
      <c r="E57" s="46" t="inlineStr">
        <is>
          <t>DB を停止する</t>
        </is>
      </c>
      <c r="F57" s="43" t="inlineStr">
        <is>
          <t>取り込みを行う</t>
        </is>
      </c>
      <c r="G57" s="43" t="inlineStr">
        <is>
          <t>「処理に失敗しました。時間をおいて再度お試しください。」が表示される</t>
        </is>
      </c>
      <c r="H57" s="44" t="inlineStr">
        <is>
          <t>実装済</t>
        </is>
      </c>
      <c r="I57" s="45" t="n"/>
      <c r="J57" s="45" t="n"/>
      <c r="K57" s="45" t="n"/>
      <c r="L57" s="45" t="n"/>
    </row>
    <row r="58" ht="29.25" customHeight="1" s="25">
      <c r="A58" s="44" t="n">
        <v>57</v>
      </c>
      <c r="B58" s="43" t="inlineStr">
        <is>
          <t>取込画面</t>
        </is>
      </c>
      <c r="C58" s="43" t="inlineStr">
        <is>
          <t>同時実行</t>
        </is>
      </c>
      <c r="D58" s="43" t="inlineStr">
        <is>
          <t>別の利用者との同時取込</t>
        </is>
      </c>
      <c r="E58" s="46" t="inlineStr">
        <is>
          <t>2 名が同時に取り込む</t>
        </is>
      </c>
      <c r="F58" s="43" t="inlineStr">
        <is>
          <t>同時に「取り込み」を押す</t>
        </is>
      </c>
      <c r="G58" s="43" t="inlineStr">
        <is>
          <t>一時データは利用者ごとに分かれ、互いのデータが混ざらない</t>
        </is>
      </c>
      <c r="H58" s="44" t="inlineStr">
        <is>
          <t>実装済</t>
        </is>
      </c>
      <c r="I58" s="45" t="n"/>
      <c r="J58" s="45" t="n"/>
      <c r="K58" s="45" t="n"/>
      <c r="L58" s="45" t="n"/>
    </row>
    <row r="59" ht="15" customHeight="1" s="25">
      <c r="A59" s="42" t="n">
        <v>58</v>
      </c>
      <c r="B59" s="43" t="inlineStr">
        <is>
          <t>取込画面</t>
        </is>
      </c>
      <c r="C59" s="43" t="inlineStr">
        <is>
          <t>遷移</t>
        </is>
      </c>
      <c r="D59" s="46" t="inlineStr">
        <is>
          <t>Hidden 画面のリンク（未実装時）</t>
        </is>
      </c>
      <c r="E59" s="46" t="inlineStr">
        <is>
          <t>menuNo=108 の Url が空</t>
        </is>
      </c>
      <c r="F59" s="43" t="inlineStr">
        <is>
          <t>取込画面を開く</t>
        </is>
      </c>
      <c r="G59" s="43" t="inlineStr">
        <is>
          <t>「取込内容確認」のリンクが表示されない</t>
        </is>
      </c>
      <c r="H59" s="44" t="inlineStr">
        <is>
          <t>実装済</t>
        </is>
      </c>
      <c r="I59" s="45" t="n"/>
      <c r="J59" s="45" t="n"/>
      <c r="K59" s="45" t="n"/>
      <c r="L59" s="45" t="n"/>
    </row>
    <row r="60" ht="15" customHeight="1" s="25">
      <c r="A60" s="42" t="n">
        <v>59</v>
      </c>
      <c r="B60" s="43" t="inlineStr">
        <is>
          <t>取込画面</t>
        </is>
      </c>
      <c r="C60" s="43" t="inlineStr">
        <is>
          <t>遷移</t>
        </is>
      </c>
      <c r="D60" s="46" t="inlineStr">
        <is>
          <t>Hidden 画面のリンク（実装後）</t>
        </is>
      </c>
      <c r="E60" s="46" t="inlineStr">
        <is>
          <t>menuNo=108 の Url を設定する</t>
        </is>
      </c>
      <c r="F60" s="43" t="inlineStr">
        <is>
          <t>menuNo=108 の Url を設定して取込画面を開き直す</t>
        </is>
      </c>
      <c r="G60" s="43" t="inlineStr">
        <is>
          <t>「取込内容確認」のリンクが表示され、別のタブで開ける。再ビルドは不要</t>
        </is>
      </c>
      <c r="H60" s="47" t="inlineStr">
        <is>
          <t>未実装</t>
        </is>
      </c>
      <c r="I60" s="45" t="n"/>
      <c r="J60" s="45" t="n"/>
      <c r="K60" s="45" t="n"/>
      <c r="L60" s="45" t="n"/>
    </row>
    <row r="61">
      <c r="A61" s="44" t="n">
        <v>60</v>
      </c>
      <c r="B61" s="43" t="inlineStr">
        <is>
          <t>取込画面</t>
        </is>
      </c>
      <c r="C61" s="43" t="inlineStr">
        <is>
          <t>別タブ運用</t>
        </is>
      </c>
      <c r="D61" s="43" t="inlineStr">
        <is>
          <t>編集内容が本登録に反映される</t>
        </is>
      </c>
      <c r="E61" s="43" t="inlineStr">
        <is>
          <t>別タブの取込結果確認画面で数量を直した</t>
        </is>
      </c>
      <c r="F61" s="43" t="inlineStr">
        <is>
          <t>取込画面のタブに戻り「チェック→登録」を押す</t>
        </is>
      </c>
      <c r="G61" s="43" t="inlineStr">
        <is>
          <t>直した数量で本登録される。Excel の元の値には戻らない</t>
        </is>
      </c>
      <c r="H61" s="44" t="inlineStr">
        <is>
          <t>実装済</t>
        </is>
      </c>
      <c r="I61" s="45" t="n"/>
      <c r="J61" s="45" t="n"/>
      <c r="K61" s="45" t="n"/>
      <c r="L61" s="45" t="n"/>
    </row>
    <row r="62">
      <c r="A62" s="44" t="n">
        <v>61</v>
      </c>
      <c r="B62" s="43" t="inlineStr">
        <is>
          <t>取込画面</t>
        </is>
      </c>
      <c r="C62" s="43" t="inlineStr">
        <is>
          <t>別タブ運用</t>
        </is>
      </c>
      <c r="D62" s="43" t="inlineStr">
        <is>
          <t>取り込みを押すと編集が消える</t>
        </is>
      </c>
      <c r="E62" s="43" t="inlineStr">
        <is>
          <t>別タブの取込結果確認画面で値を直した</t>
        </is>
      </c>
      <c r="F62" s="43" t="inlineStr">
        <is>
          <t>ファイルを選び直して「取り込み」を押す</t>
        </is>
      </c>
      <c r="G62" s="43" t="inlineStr">
        <is>
          <t>一時データが Excel から入れ直され、直した内容は消える（仕様。画面に注意文を表示している）</t>
        </is>
      </c>
      <c r="H62" s="44" t="inlineStr">
        <is>
          <t>実装済</t>
        </is>
      </c>
      <c r="I62" s="45" t="n"/>
      <c r="J62" s="45" t="n"/>
      <c r="K62" s="45" t="n"/>
      <c r="L62" s="45" t="n"/>
    </row>
    <row r="63">
      <c r="A63" s="44" t="n">
        <v>62</v>
      </c>
      <c r="B63" s="43" t="inlineStr">
        <is>
          <t>取込画面</t>
        </is>
      </c>
      <c r="C63" s="43" t="inlineStr">
        <is>
          <t>別タブ運用</t>
        </is>
      </c>
      <c r="D63" s="43" t="inlineStr">
        <is>
          <t>注意文の表示</t>
        </is>
      </c>
      <c r="E63" s="43" t="inlineStr">
        <is>
          <t>-</t>
        </is>
      </c>
      <c r="F63" s="43" t="inlineStr">
        <is>
          <t>取込画面を開く</t>
        </is>
      </c>
      <c r="G63" s="43" t="inlineStr">
        <is>
          <t>「取込内容確認」は別のタブで開く旨と、「取り込み」で編集が消える旨の注意文が表示される</t>
        </is>
      </c>
      <c r="H63" s="44" t="inlineStr">
        <is>
          <t>実装済</t>
        </is>
      </c>
      <c r="I63" s="45" t="n"/>
      <c r="J63" s="45" t="n"/>
      <c r="K63" s="45" t="n"/>
      <c r="L63" s="45" t="n"/>
    </row>
    <row r="64">
      <c r="A64" s="44" t="n">
        <v>63</v>
      </c>
      <c r="B64" s="43" t="inlineStr">
        <is>
          <t>取込画面</t>
        </is>
      </c>
      <c r="C64" s="43" t="inlineStr">
        <is>
          <t>別タブ運用</t>
        </is>
      </c>
      <c r="D64" s="43" t="inlineStr">
        <is>
          <t>リンクは新しいタブで開く</t>
        </is>
      </c>
      <c r="E64" s="43" t="inlineStr">
        <is>
          <t>-</t>
        </is>
      </c>
      <c r="F64" s="43" t="inlineStr">
        <is>
          <t>「取込内容確認」を押す</t>
        </is>
      </c>
      <c r="G64" s="43" t="inlineStr">
        <is>
          <t>同じタブでは遷移しない。取込画面のタブが閉じたり初期化されたりしない</t>
        </is>
      </c>
      <c r="H64" s="44" t="inlineStr">
        <is>
          <t>実装済</t>
        </is>
      </c>
      <c r="I64" s="45" t="n"/>
      <c r="J64" s="45" t="n"/>
      <c r="K64" s="45" t="n"/>
      <c r="L64" s="45" t="n"/>
    </row>
    <row r="65">
      <c r="A65" s="44" t="n">
        <v>64</v>
      </c>
      <c r="B65" s="43" t="inlineStr">
        <is>
          <t>取込画面</t>
        </is>
      </c>
      <c r="C65" s="43" t="inlineStr">
        <is>
          <t>別タブ運用</t>
        </is>
      </c>
      <c r="D65" s="43" t="inlineStr">
        <is>
          <t>処理中はリンクも押せない</t>
        </is>
      </c>
      <c r="E65" s="43" t="inlineStr">
        <is>
          <t>-</t>
        </is>
      </c>
      <c r="F65" s="43" t="inlineStr">
        <is>
          <t>「取り込み」を押して処理中の間にリンクを見る</t>
        </is>
      </c>
      <c r="G65" s="43" t="inlineStr">
        <is>
          <t>「取込内容確認」が灰色になり押せない</t>
        </is>
      </c>
      <c r="H65" s="44" t="inlineStr">
        <is>
          <t>実装済</t>
        </is>
      </c>
      <c r="I65" s="45" t="n"/>
      <c r="J65" s="45" t="n"/>
      <c r="K65" s="45" t="n"/>
      <c r="L65" s="45" t="n"/>
    </row>
    <row r="66">
      <c r="A66" s="44" t="n">
        <v>65</v>
      </c>
      <c r="B66" s="43" t="inlineStr">
        <is>
          <t>取込画面</t>
        </is>
      </c>
      <c r="C66" s="43" t="inlineStr">
        <is>
          <t>確認</t>
        </is>
      </c>
      <c r="D66" s="43" t="inlineStr">
        <is>
          <t>中断して確認するを選ぶ</t>
        </is>
      </c>
      <c r="E66" s="43" t="inlineStr">
        <is>
          <t>正常時の確認が表示されている</t>
        </is>
      </c>
      <c r="F66" s="43" t="inlineStr">
        <is>
          <t>「中断して確認する」を押す</t>
        </is>
      </c>
      <c r="G66" s="43" t="inlineStr">
        <is>
          <t>本登録されず画面に留まる。確認画面への案内メッセージが表示される</t>
        </is>
      </c>
      <c r="H66" s="44" t="inlineStr">
        <is>
          <t>実装済</t>
        </is>
      </c>
      <c r="I66" s="45" t="n"/>
      <c r="J66" s="45" t="n"/>
      <c r="K66" s="45" t="n"/>
      <c r="L66" s="45" t="n"/>
    </row>
    <row r="67">
      <c r="A67" s="44" t="n">
        <v>66</v>
      </c>
      <c r="B67" s="43" t="inlineStr">
        <is>
          <t>取込画面</t>
        </is>
      </c>
      <c r="C67" s="43" t="inlineStr">
        <is>
          <t>確認</t>
        </is>
      </c>
      <c r="D67" s="43" t="inlineStr">
        <is>
          <t>警告でキャンセルを選ぶ</t>
        </is>
      </c>
      <c r="E67" s="43" t="inlineStr">
        <is>
          <t>WARNING の確認が表示されている</t>
        </is>
      </c>
      <c r="F67" s="43" t="inlineStr">
        <is>
          <t>「キャンセル」を押す</t>
        </is>
      </c>
      <c r="G67" s="43" t="inlineStr">
        <is>
          <t>本登録されず画面に留まる。確認画面への案内メッセージが表示される。遷移しない</t>
        </is>
      </c>
      <c r="H67" s="44" t="inlineStr">
        <is>
          <t>実装済</t>
        </is>
      </c>
      <c r="I67" s="45" t="n"/>
      <c r="J67" s="45" t="n"/>
      <c r="K67" s="45" t="n"/>
      <c r="L67" s="45" t="n"/>
    </row>
    <row r="68">
      <c r="A68" s="44" t="n">
        <v>67</v>
      </c>
      <c r="B68" s="43" t="inlineStr">
        <is>
          <t>取込画面</t>
        </is>
      </c>
      <c r="C68" s="43" t="inlineStr">
        <is>
          <t>チェック</t>
        </is>
      </c>
      <c r="D68" s="43" t="inlineStr">
        <is>
          <t>PO 重複時は遷移しない</t>
        </is>
      </c>
      <c r="E68" s="43" t="inlineStr">
        <is>
          <t>1つの PO が複数 INVOICE に分かれているデータ</t>
        </is>
      </c>
      <c r="F68" s="43" t="inlineStr">
        <is>
          <t>取り込みを行う</t>
        </is>
      </c>
      <c r="G68" s="43" t="inlineStr">
        <is>
          <t>画面に留まり、PO 重複のメッセージと確認画面への案内が表示される</t>
        </is>
      </c>
      <c r="H68" s="44" t="inlineStr">
        <is>
          <t>実装済</t>
        </is>
      </c>
      <c r="I68" s="45" t="n"/>
      <c r="J68" s="45" t="n"/>
      <c r="K68" s="45" t="n"/>
      <c r="L68" s="45" t="n"/>
    </row>
    <row r="69">
      <c r="A69" s="44" t="n">
        <v>68</v>
      </c>
      <c r="B69" s="43" t="inlineStr">
        <is>
          <t>取込画面</t>
        </is>
      </c>
      <c r="C69" s="43" t="inlineStr">
        <is>
          <t>別タブ運用</t>
        </is>
      </c>
      <c r="D69" s="43" t="inlineStr">
        <is>
          <t>確認画面を閉じられる</t>
        </is>
      </c>
      <c r="E69" s="43" t="inlineStr">
        <is>
          <t>-</t>
        </is>
      </c>
      <c r="F69" s="43" t="inlineStr">
        <is>
          <t>「取込内容確認」で別タブを開き、そのタブで「閉じる」を押す</t>
        </is>
      </c>
      <c r="G69" s="43" t="inlineStr">
        <is>
          <t>タブが閉じて取込画面のタブに戻る（スクリプト経由で開いているため閉じられる）</t>
        </is>
      </c>
      <c r="H69" s="44" t="inlineStr">
        <is>
          <t>実装済</t>
        </is>
      </c>
      <c r="I69" s="45" t="n"/>
      <c r="J69" s="45" t="n"/>
      <c r="K69" s="45" t="n"/>
      <c r="L69" s="45" t="n"/>
    </row>
    <row r="70">
      <c r="A70" s="44" t="n">
        <v>69</v>
      </c>
      <c r="B70" s="43" t="inlineStr">
        <is>
          <t>取込画面</t>
        </is>
      </c>
      <c r="C70" s="43" t="inlineStr">
        <is>
          <t>ファイル名の表示</t>
        </is>
      </c>
      <c r="D70" s="43" t="inlineStr">
        <is>
          <t>取り込み後に名前が出る</t>
        </is>
      </c>
      <c r="E70" s="43" t="inlineStr">
        <is>
          <t>-</t>
        </is>
      </c>
      <c r="F70" s="43" t="inlineStr">
        <is>
          <t>ファイルを2つ選んで「取り込み」を押す</t>
        </is>
      </c>
      <c r="G70" s="43" t="inlineStr">
        <is>
          <t>各ファイル欄の横に「取込済み：○○.xls」が表示される</t>
        </is>
      </c>
      <c r="H70" s="44" t="inlineStr">
        <is>
          <t>実装済</t>
        </is>
      </c>
      <c r="I70" s="45" t="n"/>
      <c r="J70" s="45" t="n"/>
      <c r="K70" s="45" t="n"/>
      <c r="L70" s="45" t="n"/>
    </row>
    <row r="71">
      <c r="A71" s="44" t="n">
        <v>70</v>
      </c>
      <c r="B71" s="43" t="inlineStr">
        <is>
          <t>取込画面</t>
        </is>
      </c>
      <c r="C71" s="43" t="inlineStr">
        <is>
          <t>ファイル名の表示</t>
        </is>
      </c>
      <c r="D71" s="43" t="inlineStr">
        <is>
          <t>取り込み前は出ない</t>
        </is>
      </c>
      <c r="E71" s="43" t="inlineStr">
        <is>
          <t>一度も取り込んでいない</t>
        </is>
      </c>
      <c r="F71" s="43" t="inlineStr">
        <is>
          <t>取込画面を開く</t>
        </is>
      </c>
      <c r="G71" s="43" t="inlineStr">
        <is>
          <t>ファイル名が表示されない</t>
        </is>
      </c>
      <c r="H71" s="44" t="inlineStr">
        <is>
          <t>実装済</t>
        </is>
      </c>
      <c r="I71" s="45" t="n"/>
      <c r="J71" s="45" t="n"/>
      <c r="K71" s="45" t="n"/>
      <c r="L71" s="45" t="n"/>
    </row>
    <row r="72">
      <c r="A72" s="44" t="n">
        <v>71</v>
      </c>
      <c r="B72" s="43" t="inlineStr">
        <is>
          <t>取込画面</t>
        </is>
      </c>
      <c r="C72" s="43" t="inlineStr">
        <is>
          <t>ファイル名の表示</t>
        </is>
      </c>
      <c r="D72" s="43" t="inlineStr">
        <is>
          <t>取り込みに失敗した場合</t>
        </is>
      </c>
      <c r="E72" s="43" t="inlineStr">
        <is>
          <t>形式が違うファイルを用意する</t>
        </is>
      </c>
      <c r="F72" s="43" t="inlineStr">
        <is>
          <t>「取り込み」を押してエラーになる</t>
        </is>
      </c>
      <c r="G72" s="43" t="inlineStr">
        <is>
          <t>ファイル名は更新されない（前回の取り込み分が残る）</t>
        </is>
      </c>
      <c r="H72" s="44" t="inlineStr">
        <is>
          <t>実装済</t>
        </is>
      </c>
      <c r="I72" s="45" t="n"/>
      <c r="J72" s="45" t="n"/>
      <c r="K72" s="45" t="n"/>
      <c r="L72" s="45" t="n"/>
    </row>
    <row r="73">
      <c r="A73" s="44" t="n">
        <v>72</v>
      </c>
      <c r="B73" s="43" t="inlineStr">
        <is>
          <t>取込画面</t>
        </is>
      </c>
      <c r="C73" s="43" t="inlineStr">
        <is>
          <t>ファイル名の表示</t>
        </is>
      </c>
      <c r="D73" s="43" t="inlineStr">
        <is>
          <t>入力チェックで止まった場合</t>
        </is>
      </c>
      <c r="E73" s="43" t="inlineStr">
        <is>
          <t>発注先を選ばない</t>
        </is>
      </c>
      <c r="F73" s="43" t="inlineStr">
        <is>
          <t>ファイルを選んで「取り込み」を押す</t>
        </is>
      </c>
      <c r="G73" s="43" t="inlineStr">
        <is>
          <t>ファイル名は表示されない（取り込んでいないため）</t>
        </is>
      </c>
      <c r="H73" s="44" t="inlineStr">
        <is>
          <t>実装済</t>
        </is>
      </c>
      <c r="I73" s="45" t="n"/>
      <c r="J73" s="45" t="n"/>
      <c r="K73" s="45" t="n"/>
      <c r="L73" s="45" t="n"/>
    </row>
    <row r="74">
      <c r="A74" s="44" t="n">
        <v>73</v>
      </c>
      <c r="B74" s="43" t="inlineStr">
        <is>
          <t>取込画面</t>
        </is>
      </c>
      <c r="C74" s="43" t="inlineStr">
        <is>
          <t>ファイル名の表示</t>
        </is>
      </c>
      <c r="D74" s="43" t="inlineStr">
        <is>
          <t>取り込み直すと名前が変わる</t>
        </is>
      </c>
      <c r="E74" s="43" t="inlineStr">
        <is>
          <t>取り込み済み</t>
        </is>
      </c>
      <c r="F74" s="43" t="inlineStr">
        <is>
          <t>別のファイルを選んで「取り込み」を押す</t>
        </is>
      </c>
      <c r="G74" s="43" t="inlineStr">
        <is>
          <t>新しいファイル名に変わる</t>
        </is>
      </c>
      <c r="H74" s="44" t="inlineStr">
        <is>
          <t>実装済</t>
        </is>
      </c>
      <c r="I74" s="45" t="n"/>
      <c r="J74" s="45" t="n"/>
      <c r="K74" s="45" t="n"/>
      <c r="L74" s="45" t="n"/>
    </row>
    <row r="75">
      <c r="A75" s="44" t="n">
        <v>74</v>
      </c>
      <c r="B75" s="43" t="inlineStr">
        <is>
          <t>取込画面</t>
        </is>
      </c>
      <c r="C75" s="43" t="inlineStr">
        <is>
          <t>ファイル名の表示</t>
        </is>
      </c>
      <c r="D75" s="43" t="inlineStr">
        <is>
          <t>ポストバックしても残る</t>
        </is>
      </c>
      <c r="E75" s="43" t="inlineStr">
        <is>
          <t>取り込み済み</t>
        </is>
      </c>
      <c r="F75" s="43" t="inlineStr">
        <is>
          <t>「チェック→登録」を押す</t>
        </is>
      </c>
      <c r="G75" s="43" t="inlineStr">
        <is>
          <t>ファイル名の表示が消えない</t>
        </is>
      </c>
      <c r="H75" s="44" t="inlineStr">
        <is>
          <t>実装済</t>
        </is>
      </c>
      <c r="I75" s="45" t="n"/>
      <c r="J75" s="45" t="n"/>
      <c r="K75" s="45" t="n"/>
      <c r="L75" s="45" t="n"/>
    </row>
    <row r="76">
      <c r="A76" s="44" t="n">
        <v>75</v>
      </c>
      <c r="B76" s="43" t="inlineStr">
        <is>
          <t>取込画面</t>
        </is>
      </c>
      <c r="C76" s="43" t="inlineStr">
        <is>
          <t>ファイル名の表示</t>
        </is>
      </c>
      <c r="D76" s="43" t="inlineStr">
        <is>
          <t>ファイルは残らない</t>
        </is>
      </c>
      <c r="E76" s="43" t="inlineStr">
        <is>
          <t>取り込み済み</t>
        </is>
      </c>
      <c r="F76" s="43" t="inlineStr">
        <is>
          <t>Web.config の Atom.UploadFolderPath のフォルダを確認する</t>
        </is>
      </c>
      <c r="G76" s="43" t="inlineStr">
        <is>
          <t>「社員番号_日時_GUID_INV.xls」のようなファイルが残っていない（名前だけを保持し本体は削除する）</t>
        </is>
      </c>
      <c r="H76" s="44" t="inlineStr">
        <is>
          <t>実装済</t>
        </is>
      </c>
      <c r="I76" s="45" t="n"/>
      <c r="J76" s="45" t="n"/>
      <c r="K76" s="45" t="n"/>
      <c r="L76" s="45" t="n"/>
    </row>
    <row r="77">
      <c r="A77" s="44" t="n">
        <v>76</v>
      </c>
      <c r="B77" s="43" t="inlineStr">
        <is>
          <t>取込画面</t>
        </is>
      </c>
      <c r="C77" s="43" t="inlineStr">
        <is>
          <t>ファイル名の表示</t>
        </is>
      </c>
      <c r="D77" s="43" t="inlineStr">
        <is>
          <t>ログアウトすると消える</t>
        </is>
      </c>
      <c r="E77" s="43" t="inlineStr">
        <is>
          <t>取り込み済み</t>
        </is>
      </c>
      <c r="F77" s="43" t="inlineStr">
        <is>
          <t>ログアウトして再度ログインし、取込画面を開く</t>
        </is>
      </c>
      <c r="G77" s="43" t="inlineStr">
        <is>
          <t>ファイル名が表示されない</t>
        </is>
      </c>
      <c r="H77" s="44" t="inlineStr">
        <is>
          <t>実装済</t>
        </is>
      </c>
      <c r="I77" s="45" t="n"/>
      <c r="J77" s="45" t="n"/>
      <c r="K77" s="45" t="n"/>
      <c r="L77" s="45" t="n"/>
    </row>
    <row r="78">
      <c r="A78" s="44" t="n">
        <v>77</v>
      </c>
      <c r="B78" s="43" t="inlineStr">
        <is>
          <t>取込画面</t>
        </is>
      </c>
      <c r="C78" s="43" t="inlineStr">
        <is>
          <t>ファイル名の表示</t>
        </is>
      </c>
      <c r="D78" s="43" t="inlineStr">
        <is>
          <t>別の利用者に影響しない</t>
        </is>
      </c>
      <c r="E78" s="43" t="inlineStr">
        <is>
          <t>2人が別のファイルを取り込む</t>
        </is>
      </c>
      <c r="F78" s="43" t="inlineStr">
        <is>
          <t>それぞれの画面でファイル名を確認する</t>
        </is>
      </c>
      <c r="G78" s="43" t="inlineStr">
        <is>
          <t>自分が取り込んだファイル名だけが表示される（セッション単位）</t>
        </is>
      </c>
      <c r="H78" s="44" t="inlineStr">
        <is>
          <t>実装済</t>
        </is>
      </c>
      <c r="I78" s="45" t="n"/>
      <c r="J78" s="45" t="n"/>
      <c r="K78" s="45" t="n"/>
      <c r="L78" s="45" t="n"/>
    </row>
    <row r="79">
      <c r="A79" s="44" t="n">
        <v>78</v>
      </c>
      <c r="B79" s="43" t="inlineStr">
        <is>
          <t>取込画面</t>
        </is>
      </c>
      <c r="C79" s="43" t="inlineStr">
        <is>
          <t>担当区分</t>
        </is>
      </c>
      <c r="D79" s="43" t="inlineStr">
        <is>
          <t>貿易のときの貿易フラグ</t>
        </is>
      </c>
      <c r="E79" s="43" t="inlineStr">
        <is>
          <t>担当で「貿易」を選ぶ</t>
        </is>
      </c>
      <c r="F79" s="43" t="inlineStr">
        <is>
          <t>取り込んで本登録し、tbl_t_shanghai_invoice_meisai を確認する</t>
        </is>
      </c>
      <c r="G79" s="43" t="inlineStr">
        <is>
          <t>PO の内容にかかわらず boueki_flg が全行 1 になる</t>
        </is>
      </c>
      <c r="H79" s="44" t="inlineStr">
        <is>
          <t>実装済</t>
        </is>
      </c>
      <c r="I79" s="45" t="n"/>
      <c r="J79" s="45" t="n"/>
      <c r="K79" s="45" t="n"/>
      <c r="L79" s="45" t="n"/>
    </row>
    <row r="80">
      <c r="A80" s="44" t="n">
        <v>79</v>
      </c>
      <c r="B80" s="43" t="inlineStr">
        <is>
          <t>取込画面</t>
        </is>
      </c>
      <c r="C80" s="43" t="inlineStr">
        <is>
          <t>担当区分</t>
        </is>
      </c>
      <c r="D80" s="43" t="inlineStr">
        <is>
          <t>上海のときの貿易フラグ（NSN/HON以外）</t>
        </is>
      </c>
      <c r="E80" s="43" t="inlineStr">
        <is>
          <t>担当で「上海」を選び、PO が NSN・HON で始まらないデータを用意する</t>
        </is>
      </c>
      <c r="F80" s="43" t="inlineStr">
        <is>
          <t>取り込んで本登録し、明細を確認する</t>
        </is>
      </c>
      <c r="G80" s="43" t="inlineStr">
        <is>
          <t>boueki_flg が 0 になる</t>
        </is>
      </c>
      <c r="H80" s="44" t="inlineStr">
        <is>
          <t>実装済</t>
        </is>
      </c>
      <c r="I80" s="45" t="n"/>
      <c r="J80" s="45" t="n"/>
      <c r="K80" s="45" t="n"/>
      <c r="L80" s="45" t="n"/>
    </row>
    <row r="81">
      <c r="A81" s="44" t="n">
        <v>80</v>
      </c>
      <c r="B81" s="43" t="inlineStr">
        <is>
          <t>取込画面</t>
        </is>
      </c>
      <c r="C81" s="43" t="inlineStr">
        <is>
          <t>担当区分</t>
        </is>
      </c>
      <c r="D81" s="43" t="inlineStr">
        <is>
          <t>上海のときの貿易フラグ（NSN/HON）</t>
        </is>
      </c>
      <c r="E81" s="43" t="inlineStr">
        <is>
          <t>担当で「上海」を選び、PO が NSN または HON で始まるデータを用意する</t>
        </is>
      </c>
      <c r="F81" s="43" t="inlineStr">
        <is>
          <t>取り込んで本登録し、明細を確認する</t>
        </is>
      </c>
      <c r="G81" s="43" t="inlineStr">
        <is>
          <t>boueki_flg が 1 になる</t>
        </is>
      </c>
      <c r="H81" s="44" t="inlineStr">
        <is>
          <t>実装済</t>
        </is>
      </c>
      <c r="I81" s="45" t="n"/>
      <c r="J81" s="45" t="n"/>
      <c r="K81" s="45" t="n"/>
      <c r="L81" s="45" t="n"/>
    </row>
    <row r="82">
      <c r="A82" s="44" t="n">
        <v>81</v>
      </c>
      <c r="B82" s="43" t="inlineStr">
        <is>
          <t>取込画面</t>
        </is>
      </c>
      <c r="C82" s="43" t="inlineStr">
        <is>
          <t>担当区分</t>
        </is>
      </c>
      <c r="D82" s="43" t="inlineStr">
        <is>
          <t>調達は上海と同じ動き</t>
        </is>
      </c>
      <c r="E82" s="43" t="inlineStr">
        <is>
          <t>担当で「調達」を選ぶ</t>
        </is>
      </c>
      <c r="F82" s="43" t="inlineStr">
        <is>
          <t>上海を選んだ場合と同じデータで本登録し、明細を比べる</t>
        </is>
      </c>
      <c r="G82" s="43" t="inlineStr">
        <is>
          <t>boueki_flg の判定結果が上海のときと一致する（本登録ストアドでは両者を区別していない）</t>
        </is>
      </c>
      <c r="H82" s="44" t="inlineStr">
        <is>
          <t>実装済</t>
        </is>
      </c>
      <c r="I82" s="45" t="n"/>
      <c r="J82" s="45" t="n"/>
      <c r="K82" s="45" t="n"/>
      <c r="L82" s="45" t="n"/>
    </row>
    <row r="83">
      <c r="A83" s="44" t="n">
        <v>82</v>
      </c>
      <c r="B83" s="43" t="inlineStr">
        <is>
          <t>取込画面</t>
        </is>
      </c>
      <c r="C83" s="43" t="inlineStr">
        <is>
          <t>担当区分</t>
        </is>
      </c>
      <c r="D83" s="43" t="inlineStr">
        <is>
          <t>貿易は PO 重複チェックをしない</t>
        </is>
      </c>
      <c r="E83" s="43" t="inlineStr">
        <is>
          <t>1つの PO が複数 INVOICE に分かれているデータ</t>
        </is>
      </c>
      <c r="F83" s="43" t="inlineStr">
        <is>
          <t>担当で「貿易」を選んで取り込む</t>
        </is>
      </c>
      <c r="G83" s="43" t="inlineStr">
        <is>
          <t>PO 重複のメッセージが出ず、処理が続行される</t>
        </is>
      </c>
      <c r="H83" s="44" t="inlineStr">
        <is>
          <t>実装済</t>
        </is>
      </c>
      <c r="I83" s="45" t="n"/>
      <c r="J83" s="45" t="n"/>
      <c r="K83" s="45" t="n"/>
      <c r="L83" s="45" t="n"/>
    </row>
    <row r="84">
      <c r="A84" s="44" t="n">
        <v>83</v>
      </c>
      <c r="B84" s="43" t="inlineStr">
        <is>
          <t>取込画面</t>
        </is>
      </c>
      <c r="C84" s="43" t="inlineStr">
        <is>
          <t>担当区分</t>
        </is>
      </c>
      <c r="D84" s="43" t="inlineStr">
        <is>
          <t>上海は PO 重複チェックをする</t>
        </is>
      </c>
      <c r="E84" s="43" t="inlineStr">
        <is>
          <t>同上</t>
        </is>
      </c>
      <c r="F84" s="43" t="inlineStr">
        <is>
          <t>担当で「上海」を選んで取り込む</t>
        </is>
      </c>
      <c r="G84" s="43" t="inlineStr">
        <is>
          <t>PO 重複のメッセージが表示され、本登録されない</t>
        </is>
      </c>
      <c r="H84" s="44" t="inlineStr">
        <is>
          <t>実装済</t>
        </is>
      </c>
      <c r="I84" s="45" t="n"/>
      <c r="J84" s="45" t="n"/>
      <c r="K84" s="45" t="n"/>
      <c r="L84" s="45" t="n"/>
    </row>
    <row r="85">
      <c r="A85" s="44" t="n">
        <v>84</v>
      </c>
      <c r="B85" s="43" t="inlineStr">
        <is>
          <t>取込画面</t>
        </is>
      </c>
      <c r="C85" s="43" t="inlineStr">
        <is>
          <t>担当区分</t>
        </is>
      </c>
      <c r="D85" s="43" t="inlineStr">
        <is>
          <t>担当の初期値がログイン者の登録値</t>
        </is>
      </c>
      <c r="E85" s="43" t="inlineStr">
        <is>
          <t>shanghai_chotatsu が 3 の社員でログインする</t>
        </is>
      </c>
      <c r="F85" s="43" t="inlineStr">
        <is>
          <t>取込画面を開く</t>
        </is>
      </c>
      <c r="G85" s="43" t="inlineStr">
        <is>
          <t>担当が「貿易」で選択されている</t>
        </is>
      </c>
      <c r="H85" s="44" t="inlineStr">
        <is>
          <t>実装済</t>
        </is>
      </c>
      <c r="I85" s="45" t="n"/>
      <c r="J85" s="45" t="n"/>
      <c r="K85" s="45" t="n"/>
      <c r="L85" s="45" t="n"/>
    </row>
    <row r="86">
      <c r="A86" s="44" t="n">
        <v>85</v>
      </c>
      <c r="B86" s="43" t="inlineStr">
        <is>
          <t>取込画面</t>
        </is>
      </c>
      <c r="C86" s="43" t="inlineStr">
        <is>
          <t>本登録</t>
        </is>
      </c>
      <c r="D86" s="43" t="inlineStr">
        <is>
          <t>二重登録されない</t>
        </is>
      </c>
      <c r="E86" s="43" t="inlineStr">
        <is>
          <t>同じ INVOICE 番号を登録済み</t>
        </is>
      </c>
      <c r="F86" s="43" t="inlineStr">
        <is>
          <t>確認で「追加する」を選んで本登録し、明細の件数を確認する</t>
        </is>
      </c>
      <c r="G86" s="43" t="inlineStr">
        <is>
          <t>既に本テーブルにある INVOICE 番号の明細は増えない（ストアドが LEFT JOIN で除外している）</t>
        </is>
      </c>
      <c r="H86" s="44" t="inlineStr">
        <is>
          <t>実装済</t>
        </is>
      </c>
      <c r="I86" s="45" t="n"/>
      <c r="J86" s="45" t="n"/>
      <c r="K86" s="45" t="n"/>
      <c r="L86" s="45" t="n"/>
    </row>
    <row r="87">
      <c r="A87" s="44" t="n">
        <v>86</v>
      </c>
      <c r="B87" s="43" t="inlineStr">
        <is>
          <t>取込画面</t>
        </is>
      </c>
      <c r="C87" s="43" t="inlineStr">
        <is>
          <t>本登録</t>
        </is>
      </c>
      <c r="D87" s="43" t="inlineStr">
        <is>
          <t>PO が2列に入る</t>
        </is>
      </c>
      <c r="E87" s="43" t="inlineStr">
        <is>
          <t>-</t>
        </is>
      </c>
      <c r="F87" s="43" t="inlineStr">
        <is>
          <t>本登録後、tbl_t_shanghai_invoice_meisai を確認する</t>
        </is>
      </c>
      <c r="G87" s="43" t="inlineStr">
        <is>
          <t>syanai_sansyo_no に PO、syanai_sansyo_no_original に元PO が入っている</t>
        </is>
      </c>
      <c r="H87" s="44" t="inlineStr">
        <is>
          <t>実装済</t>
        </is>
      </c>
      <c r="I87" s="45" t="n"/>
      <c r="J87" s="45" t="n"/>
      <c r="K87" s="45" t="n"/>
      <c r="L87" s="45" t="n"/>
    </row>
    <row r="88">
      <c r="A88" s="44" t="n">
        <v>87</v>
      </c>
      <c r="B88" s="43" t="inlineStr">
        <is>
          <t>取込画面</t>
        </is>
      </c>
      <c r="C88" s="43" t="inlineStr">
        <is>
          <t>本登録</t>
        </is>
      </c>
      <c r="D88" s="43" t="inlineStr">
        <is>
          <t>運賃行の読み替え</t>
        </is>
      </c>
      <c r="E88" s="43" t="inlineStr">
        <is>
          <t>品目コードが空で品名が FREIGHT の行を含むデータ</t>
        </is>
      </c>
      <c r="F88" s="43" t="inlineStr">
        <is>
          <t>本登録し、明細を確認する</t>
        </is>
      </c>
      <c r="G88" s="43" t="inlineStr">
        <is>
          <t>品目コードが MISC として登録される</t>
        </is>
      </c>
      <c r="H88" s="44" t="inlineStr">
        <is>
          <t>実装済</t>
        </is>
      </c>
      <c r="I88" s="45" t="n"/>
      <c r="J88" s="45" t="n"/>
      <c r="K88" s="45" t="n"/>
      <c r="L88" s="45" t="n"/>
    </row>
    <row r="89">
      <c r="A89" s="44" t="n">
        <v>88</v>
      </c>
      <c r="B89" s="43" t="inlineStr">
        <is>
          <t>取込画面</t>
        </is>
      </c>
      <c r="C89" s="43" t="inlineStr">
        <is>
          <t>本登録</t>
        </is>
      </c>
      <c r="D89" s="43" t="inlineStr">
        <is>
          <t>箱数の集計</t>
        </is>
      </c>
      <c r="E89" s="43" t="inlineStr">
        <is>
          <t>-</t>
        </is>
      </c>
      <c r="F89" s="43" t="inlineStr">
        <is>
          <t>本登録後、tbl_t_shanghai_invoice_header_sub を確認する</t>
        </is>
      </c>
      <c r="G89" s="43" t="inlineStr">
        <is>
          <t>carton_qty が（終了 − 開始 + 1）の合計になっている</t>
        </is>
      </c>
      <c r="H89" s="44" t="inlineStr">
        <is>
          <t>実装済</t>
        </is>
      </c>
      <c r="I89" s="45" t="n"/>
      <c r="J89" s="45" t="n"/>
      <c r="K89" s="45" t="n"/>
      <c r="L89" s="45" t="n"/>
    </row>
  </sheetData>
  <autoFilter ref="A1:L60"/>
  <dataValidations count="1">
    <dataValidation sqref="J2:J60" showDropDown="0" showInputMessage="0" showErrorMessage="0" allowBlank="1" type="list" errorStyle="stop" operator="between">
      <formula1>"OK,NG,対象外"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25" min="1" max="1"/>
    <col width="14" customWidth="1" style="25" min="2" max="2"/>
    <col width="16" customWidth="1" style="25" min="3" max="3"/>
    <col width="34" customWidth="1" style="25" min="4" max="4"/>
    <col width="30" customWidth="1" style="25" min="5" max="5"/>
    <col width="40" customWidth="1" style="25" min="6" max="6"/>
    <col width="46" customWidth="1" style="25" min="7" max="7"/>
    <col width="9" customWidth="1" style="25" min="8" max="8"/>
    <col width="11" customWidth="1" style="25" min="9" max="9"/>
    <col width="8" customWidth="1" style="25" min="10" max="10"/>
    <col width="10" customWidth="1" style="25" min="11" max="11"/>
    <col width="24" customWidth="1" style="25" min="12" max="12"/>
  </cols>
  <sheetData>
    <row r="1">
      <c r="A1" s="40" t="inlineStr">
        <is>
          <t>No</t>
        </is>
      </c>
      <c r="B1" s="41" t="inlineStr">
        <is>
          <t>大分類</t>
        </is>
      </c>
      <c r="C1" s="41" t="inlineStr">
        <is>
          <t>中分類</t>
        </is>
      </c>
      <c r="D1" s="41" t="inlineStr">
        <is>
          <t>確認項目</t>
        </is>
      </c>
      <c r="E1" s="41" t="inlineStr">
        <is>
          <t>前提条件</t>
        </is>
      </c>
      <c r="F1" s="41" t="inlineStr">
        <is>
          <t>操作手順</t>
        </is>
      </c>
      <c r="G1" s="41" t="inlineStr">
        <is>
          <t>期待結果</t>
        </is>
      </c>
      <c r="H1" s="41" t="inlineStr">
        <is>
          <t>状態</t>
        </is>
      </c>
      <c r="I1" s="41" t="inlineStr">
        <is>
          <t>実施日</t>
        </is>
      </c>
      <c r="J1" s="41" t="inlineStr">
        <is>
          <t>結果</t>
        </is>
      </c>
      <c r="K1" s="41" t="inlineStr">
        <is>
          <t>確認者</t>
        </is>
      </c>
      <c r="L1" s="41" t="inlineStr">
        <is>
          <t>備考</t>
        </is>
      </c>
    </row>
    <row r="2">
      <c r="A2" s="44" t="n">
        <v>1</v>
      </c>
      <c r="B2" s="43" t="inlineStr">
        <is>
          <t>確認画面</t>
        </is>
      </c>
      <c r="C2" s="43" t="inlineStr">
        <is>
          <t>初期表示</t>
        </is>
      </c>
      <c r="D2" s="43" t="inlineStr">
        <is>
          <t>別タブで開く</t>
        </is>
      </c>
      <c r="E2" s="43" t="inlineStr">
        <is>
          <t>取込画面で取り込み済み</t>
        </is>
      </c>
      <c r="F2" s="43" t="inlineStr">
        <is>
          <t>取込画面で「取込内容確認」を押す</t>
        </is>
      </c>
      <c r="G2" s="43" t="inlineStr">
        <is>
          <t>新しいタブで取込結果確認画面が開く</t>
        </is>
      </c>
      <c r="H2" s="44" t="inlineStr">
        <is>
          <t>実装済</t>
        </is>
      </c>
      <c r="I2" s="45" t="n"/>
      <c r="J2" s="45" t="n"/>
      <c r="K2" s="45" t="n"/>
      <c r="L2" s="45" t="n"/>
    </row>
    <row r="3">
      <c r="A3" s="44" t="n">
        <v>2</v>
      </c>
      <c r="B3" s="43" t="inlineStr">
        <is>
          <t>確認画面</t>
        </is>
      </c>
      <c r="C3" s="43" t="inlineStr">
        <is>
          <t>初期表示</t>
        </is>
      </c>
      <c r="D3" s="43" t="inlineStr">
        <is>
          <t>ヘッダーの表示</t>
        </is>
      </c>
      <c r="E3" s="43" t="inlineStr">
        <is>
          <t>-</t>
        </is>
      </c>
      <c r="F3" s="43" t="inlineStr">
        <is>
          <t>画面を開く</t>
        </is>
      </c>
      <c r="G3" s="43" t="inlineStr">
        <is>
          <t>画面名「取込結果確認」が表示され、ヘッダーに「閉じる」「MENUへ」がある</t>
        </is>
      </c>
      <c r="H3" s="44" t="inlineStr">
        <is>
          <t>実装済</t>
        </is>
      </c>
      <c r="I3" s="45" t="n"/>
      <c r="J3" s="45" t="n"/>
      <c r="K3" s="45" t="n"/>
      <c r="L3" s="45" t="n"/>
    </row>
    <row r="4">
      <c r="A4" s="44" t="n">
        <v>3</v>
      </c>
      <c r="B4" s="43" t="inlineStr">
        <is>
          <t>確認画面</t>
        </is>
      </c>
      <c r="C4" s="43" t="inlineStr">
        <is>
          <t>初期表示</t>
        </is>
      </c>
      <c r="D4" s="43" t="inlineStr">
        <is>
          <t>初期タブ</t>
        </is>
      </c>
      <c r="E4" s="43" t="inlineStr">
        <is>
          <t>-</t>
        </is>
      </c>
      <c r="F4" s="43" t="inlineStr">
        <is>
          <t>画面を開く</t>
        </is>
      </c>
      <c r="G4" s="43" t="inlineStr">
        <is>
          <t>INVOICE タブが選択されており、INVOICE 一覧が表示される</t>
        </is>
      </c>
      <c r="H4" s="44" t="inlineStr">
        <is>
          <t>実装済</t>
        </is>
      </c>
      <c r="I4" s="45" t="n"/>
      <c r="J4" s="45" t="n"/>
      <c r="K4" s="45" t="n"/>
      <c r="L4" s="45" t="n"/>
    </row>
    <row r="5">
      <c r="A5" s="44" t="n">
        <v>4</v>
      </c>
      <c r="B5" s="43" t="inlineStr">
        <is>
          <t>確認画面</t>
        </is>
      </c>
      <c r="C5" s="43" t="inlineStr">
        <is>
          <t>初期表示</t>
        </is>
      </c>
      <c r="D5" s="43" t="inlineStr">
        <is>
          <t>元INV_NO の選択肢</t>
        </is>
      </c>
      <c r="E5" s="43" t="inlineStr">
        <is>
          <t>2つの INVOICE 番号を含むデータ</t>
        </is>
      </c>
      <c r="F5" s="43" t="inlineStr">
        <is>
          <t>画面を開く</t>
        </is>
      </c>
      <c r="G5" s="43" t="inlineStr">
        <is>
          <t>先頭が「（すべて）」で、続いて一時データの INVOICE 番号が昇順で並ぶ</t>
        </is>
      </c>
      <c r="H5" s="44" t="inlineStr">
        <is>
          <t>実装済</t>
        </is>
      </c>
      <c r="I5" s="45" t="n"/>
      <c r="J5" s="45" t="n"/>
      <c r="K5" s="45" t="n"/>
      <c r="L5" s="45" t="n"/>
    </row>
    <row r="6">
      <c r="A6" s="44" t="n">
        <v>5</v>
      </c>
      <c r="B6" s="43" t="inlineStr">
        <is>
          <t>確認画面</t>
        </is>
      </c>
      <c r="C6" s="43" t="inlineStr">
        <is>
          <t>初期表示</t>
        </is>
      </c>
      <c r="D6" s="43" t="inlineStr">
        <is>
          <t>件数の表示</t>
        </is>
      </c>
      <c r="E6" s="43" t="inlineStr">
        <is>
          <t>-</t>
        </is>
      </c>
      <c r="F6" s="43" t="inlineStr">
        <is>
          <t>画面を開く</t>
        </is>
      </c>
      <c r="G6" s="43" t="inlineStr">
        <is>
          <t>一覧の件数が「n 件」で表示される</t>
        </is>
      </c>
      <c r="H6" s="44" t="inlineStr">
        <is>
          <t>実装済</t>
        </is>
      </c>
      <c r="I6" s="45" t="n"/>
      <c r="J6" s="45" t="n"/>
      <c r="K6" s="45" t="n"/>
      <c r="L6" s="45" t="n"/>
    </row>
    <row r="7">
      <c r="A7" s="44" t="n">
        <v>6</v>
      </c>
      <c r="B7" s="43" t="inlineStr">
        <is>
          <t>確認画面</t>
        </is>
      </c>
      <c r="C7" s="43" t="inlineStr">
        <is>
          <t>初期表示</t>
        </is>
      </c>
      <c r="D7" s="43" t="inlineStr">
        <is>
          <t>自分の分だけ表示</t>
        </is>
      </c>
      <c r="E7" s="43" t="inlineStr">
        <is>
          <t>他の利用者の一時データがある</t>
        </is>
      </c>
      <c r="F7" s="43" t="inlineStr">
        <is>
          <t>画面を開く</t>
        </is>
      </c>
      <c r="G7" s="43" t="inlineStr">
        <is>
          <t>自分のログインコードの行だけが表示される</t>
        </is>
      </c>
      <c r="H7" s="44" t="inlineStr">
        <is>
          <t>実装済</t>
        </is>
      </c>
      <c r="I7" s="45" t="n"/>
      <c r="J7" s="45" t="n"/>
      <c r="K7" s="45" t="n"/>
      <c r="L7" s="45" t="n"/>
    </row>
    <row r="8">
      <c r="A8" s="44" t="n">
        <v>7</v>
      </c>
      <c r="B8" s="43" t="inlineStr">
        <is>
          <t>確認画面</t>
        </is>
      </c>
      <c r="C8" s="43" t="inlineStr">
        <is>
          <t>初期表示</t>
        </is>
      </c>
      <c r="D8" s="43" t="inlineStr">
        <is>
          <t>取込データが無い場合</t>
        </is>
      </c>
      <c r="E8" s="43" t="inlineStr">
        <is>
          <t>一度も取り込んでいない</t>
        </is>
      </c>
      <c r="F8" s="43" t="inlineStr">
        <is>
          <t>画面を開く</t>
        </is>
      </c>
      <c r="G8" s="43" t="inlineStr">
        <is>
          <t>「対象データがありません。」が表示され、エラーにならない</t>
        </is>
      </c>
      <c r="H8" s="44" t="inlineStr">
        <is>
          <t>実装済</t>
        </is>
      </c>
      <c r="I8" s="45" t="n"/>
      <c r="J8" s="45" t="n"/>
      <c r="K8" s="45" t="n"/>
      <c r="L8" s="45" t="n"/>
    </row>
    <row r="9">
      <c r="A9" s="44" t="n">
        <v>8</v>
      </c>
      <c r="B9" s="43" t="inlineStr">
        <is>
          <t>確認画面</t>
        </is>
      </c>
      <c r="C9" s="43" t="inlineStr">
        <is>
          <t>一覧表示</t>
        </is>
      </c>
      <c r="D9" s="43" t="inlineStr">
        <is>
          <t>INVOICE の列</t>
        </is>
      </c>
      <c r="E9" s="43" t="inlineStr">
        <is>
          <t>-</t>
        </is>
      </c>
      <c r="F9" s="43" t="inlineStr">
        <is>
          <t>INVOICE タブを見る</t>
        </is>
      </c>
      <c r="G9" s="43" t="inlineStr">
        <is>
          <t>ERR_CONTENTS／数量／単位／通貨／単価／金額／購買伝票#／INVOICE#／B/L DATE／出荷方法／品目コード／品名 の12列が並ぶ</t>
        </is>
      </c>
      <c r="H9" s="44" t="inlineStr">
        <is>
          <t>実装済</t>
        </is>
      </c>
      <c r="I9" s="45" t="n"/>
      <c r="J9" s="45" t="n"/>
      <c r="K9" s="45" t="n"/>
      <c r="L9" s="45" t="n"/>
    </row>
    <row r="10">
      <c r="A10" s="44" t="n">
        <v>9</v>
      </c>
      <c r="B10" s="43" t="inlineStr">
        <is>
          <t>確認画面</t>
        </is>
      </c>
      <c r="C10" s="43" t="inlineStr">
        <is>
          <t>一覧表示</t>
        </is>
      </c>
      <c r="D10" s="43" t="inlineStr">
        <is>
          <t>PACKING の列</t>
        </is>
      </c>
      <c r="E10" s="43" t="inlineStr">
        <is>
          <t>-</t>
        </is>
      </c>
      <c r="F10" s="43" t="inlineStr">
        <is>
          <t>PACKING タブを見る</t>
        </is>
      </c>
      <c r="G10" s="43" t="inlineStr">
        <is>
          <t>ERR_CONTENTS／INVOICE_NO／PO／T_F／品目コード／出荷方法／BL_DATE／数量／NET／GRS／M3／C/NO 開始／C/NO 終了／単価／合計 の15列が並ぶ</t>
        </is>
      </c>
      <c r="H10" s="44" t="inlineStr">
        <is>
          <t>実装済</t>
        </is>
      </c>
      <c r="I10" s="45" t="n"/>
      <c r="J10" s="45" t="n"/>
      <c r="K10" s="45" t="n"/>
      <c r="L10" s="45" t="n"/>
    </row>
    <row r="11">
      <c r="A11" s="44" t="n">
        <v>10</v>
      </c>
      <c r="B11" s="43" t="inlineStr">
        <is>
          <t>確認画面</t>
        </is>
      </c>
      <c r="C11" s="43" t="inlineStr">
        <is>
          <t>一覧表示</t>
        </is>
      </c>
      <c r="D11" s="43" t="inlineStr">
        <is>
          <t>数値の書式</t>
        </is>
      </c>
      <c r="E11" s="43" t="inlineStr">
        <is>
          <t>-</t>
        </is>
      </c>
      <c r="F11" s="43" t="inlineStr">
        <is>
          <t>一覧を見る</t>
        </is>
      </c>
      <c r="G11" s="43" t="inlineStr">
        <is>
          <t>単価は小数3桁、金額・合計は小数2桁、数量は3桁区切りの整数で表示される</t>
        </is>
      </c>
      <c r="H11" s="44" t="inlineStr">
        <is>
          <t>実装済</t>
        </is>
      </c>
      <c r="I11" s="45" t="n"/>
      <c r="J11" s="45" t="n"/>
      <c r="K11" s="45" t="n"/>
      <c r="L11" s="45" t="n"/>
    </row>
    <row r="12">
      <c r="A12" s="44" t="n">
        <v>11</v>
      </c>
      <c r="B12" s="43" t="inlineStr">
        <is>
          <t>確認画面</t>
        </is>
      </c>
      <c r="C12" s="43" t="inlineStr">
        <is>
          <t>一覧表示</t>
        </is>
      </c>
      <c r="D12" s="43" t="inlineStr">
        <is>
          <t>日付の書式</t>
        </is>
      </c>
      <c r="E12" s="43" t="inlineStr">
        <is>
          <t>-</t>
        </is>
      </c>
      <c r="F12" s="43" t="inlineStr">
        <is>
          <t>一覧を見る</t>
        </is>
      </c>
      <c r="G12" s="43" t="inlineStr">
        <is>
          <t>B/L DATE が yyyy/MM/dd で表示される</t>
        </is>
      </c>
      <c r="H12" s="44" t="inlineStr">
        <is>
          <t>実装済</t>
        </is>
      </c>
      <c r="I12" s="45" t="n"/>
      <c r="J12" s="45" t="n"/>
      <c r="K12" s="45" t="n"/>
      <c r="L12" s="45" t="n"/>
    </row>
    <row r="13">
      <c r="A13" s="44" t="n">
        <v>12</v>
      </c>
      <c r="B13" s="43" t="inlineStr">
        <is>
          <t>確認画面</t>
        </is>
      </c>
      <c r="C13" s="43" t="inlineStr">
        <is>
          <t>一覧表示</t>
        </is>
      </c>
      <c r="D13" s="43" t="inlineStr">
        <is>
          <t>エラー行の色</t>
        </is>
      </c>
      <c r="E13" s="43" t="inlineStr">
        <is>
          <t>エラーになる明細を含むデータ</t>
        </is>
      </c>
      <c r="F13" s="43" t="inlineStr">
        <is>
          <t>一覧を見る</t>
        </is>
      </c>
      <c r="G13" s="43" t="inlineStr">
        <is>
          <t>err_status=1 の行がエラー色で表示される</t>
        </is>
      </c>
      <c r="H13" s="44" t="inlineStr">
        <is>
          <t>実装済</t>
        </is>
      </c>
      <c r="I13" s="45" t="n"/>
      <c r="J13" s="45" t="n"/>
      <c r="K13" s="45" t="n"/>
      <c r="L13" s="45" t="n"/>
    </row>
    <row r="14">
      <c r="A14" s="44" t="n">
        <v>13</v>
      </c>
      <c r="B14" s="43" t="inlineStr">
        <is>
          <t>確認画面</t>
        </is>
      </c>
      <c r="C14" s="43" t="inlineStr">
        <is>
          <t>一覧表示</t>
        </is>
      </c>
      <c r="D14" s="43" t="inlineStr">
        <is>
          <t>警告行の色</t>
        </is>
      </c>
      <c r="E14" s="43" t="inlineStr">
        <is>
          <t>警告になる明細を含むデータ</t>
        </is>
      </c>
      <c r="F14" s="43" t="inlineStr">
        <is>
          <t>一覧を見る</t>
        </is>
      </c>
      <c r="G14" s="43" t="inlineStr">
        <is>
          <t>err_status=2 の行が警告色で表示される</t>
        </is>
      </c>
      <c r="H14" s="44" t="inlineStr">
        <is>
          <t>実装済</t>
        </is>
      </c>
      <c r="I14" s="45" t="n"/>
      <c r="J14" s="45" t="n"/>
      <c r="K14" s="45" t="n"/>
      <c r="L14" s="45" t="n"/>
    </row>
    <row r="15">
      <c r="A15" s="44" t="n">
        <v>14</v>
      </c>
      <c r="B15" s="43" t="inlineStr">
        <is>
          <t>確認画面</t>
        </is>
      </c>
      <c r="C15" s="43" t="inlineStr">
        <is>
          <t>一覧表示</t>
        </is>
      </c>
      <c r="D15" s="43" t="inlineStr">
        <is>
          <t>ERR_CONTENTS の表示</t>
        </is>
      </c>
      <c r="E15" s="43" t="inlineStr">
        <is>
          <t>エラーがあるデータ</t>
        </is>
      </c>
      <c r="F15" s="43" t="inlineStr">
        <is>
          <t>一覧を見る</t>
        </is>
      </c>
      <c r="G15" s="43" t="inlineStr">
        <is>
          <t>チェック結果の文言がそのまま表示される。HTML として解釈されない</t>
        </is>
      </c>
      <c r="H15" s="44" t="inlineStr">
        <is>
          <t>実装済</t>
        </is>
      </c>
      <c r="I15" s="45" t="n"/>
      <c r="J15" s="45" t="n"/>
      <c r="K15" s="45" t="n"/>
      <c r="L15" s="45" t="n"/>
    </row>
    <row r="16">
      <c r="A16" s="44" t="n">
        <v>15</v>
      </c>
      <c r="B16" s="43" t="inlineStr">
        <is>
          <t>確認画面</t>
        </is>
      </c>
      <c r="C16" s="43" t="inlineStr">
        <is>
          <t>絞り込み</t>
        </is>
      </c>
      <c r="D16" s="43" t="inlineStr">
        <is>
          <t>元INV_NO で絞る</t>
        </is>
      </c>
      <c r="E16" s="43" t="inlineStr">
        <is>
          <t>2つの INVOICE 番号を含むデータ</t>
        </is>
      </c>
      <c r="F16" s="43" t="inlineStr">
        <is>
          <t>元INV_NO で1つを選ぶ</t>
        </is>
      </c>
      <c r="G16" s="43" t="inlineStr">
        <is>
          <t>選んだ INVOICE 番号の行だけが表示され、件数も変わる</t>
        </is>
      </c>
      <c r="H16" s="44" t="inlineStr">
        <is>
          <t>実装済</t>
        </is>
      </c>
      <c r="I16" s="45" t="n"/>
      <c r="J16" s="45" t="n"/>
      <c r="K16" s="45" t="n"/>
      <c r="L16" s="45" t="n"/>
    </row>
    <row r="17">
      <c r="A17" s="44" t="n">
        <v>16</v>
      </c>
      <c r="B17" s="43" t="inlineStr">
        <is>
          <t>確認画面</t>
        </is>
      </c>
      <c r="C17" s="43" t="inlineStr">
        <is>
          <t>絞り込み</t>
        </is>
      </c>
      <c r="D17" s="43" t="inlineStr">
        <is>
          <t>すべてに戻す</t>
        </is>
      </c>
      <c r="E17" s="43" t="inlineStr">
        <is>
          <t>絞り込み済み</t>
        </is>
      </c>
      <c r="F17" s="43" t="inlineStr">
        <is>
          <t>元INV_NO で「（すべて）」を選ぶ</t>
        </is>
      </c>
      <c r="G17" s="43" t="inlineStr">
        <is>
          <t>全件が表示される</t>
        </is>
      </c>
      <c r="H17" s="44" t="inlineStr">
        <is>
          <t>実装済</t>
        </is>
      </c>
      <c r="I17" s="45" t="n"/>
      <c r="J17" s="45" t="n"/>
      <c r="K17" s="45" t="n"/>
      <c r="L17" s="45" t="n"/>
    </row>
    <row r="18">
      <c r="A18" s="44" t="n">
        <v>17</v>
      </c>
      <c r="B18" s="43" t="inlineStr">
        <is>
          <t>確認画面</t>
        </is>
      </c>
      <c r="C18" s="43" t="inlineStr">
        <is>
          <t>絞り込み</t>
        </is>
      </c>
      <c r="D18" s="43" t="inlineStr">
        <is>
          <t>タブを切り替えても保持</t>
        </is>
      </c>
      <c r="E18" s="43" t="inlineStr">
        <is>
          <t>絞り込み済み</t>
        </is>
      </c>
      <c r="F18" s="43" t="inlineStr">
        <is>
          <t>PACKING タブへ切り替える</t>
        </is>
      </c>
      <c r="G18" s="43" t="inlineStr">
        <is>
          <t>同じ INVOICE 番号で絞られた PACKING 一覧が表示される</t>
        </is>
      </c>
      <c r="H18" s="44" t="inlineStr">
        <is>
          <t>実装済</t>
        </is>
      </c>
      <c r="I18" s="45" t="n"/>
      <c r="J18" s="45" t="n"/>
      <c r="K18" s="45" t="n"/>
      <c r="L18" s="45" t="n"/>
    </row>
    <row r="19">
      <c r="A19" s="44" t="n">
        <v>18</v>
      </c>
      <c r="B19" s="43" t="inlineStr">
        <is>
          <t>確認画面</t>
        </is>
      </c>
      <c r="C19" s="43" t="inlineStr">
        <is>
          <t>タブ</t>
        </is>
      </c>
      <c r="D19" s="43" t="inlineStr">
        <is>
          <t>PACKING へ切り替え</t>
        </is>
      </c>
      <c r="E19" s="43" t="inlineStr">
        <is>
          <t>-</t>
        </is>
      </c>
      <c r="F19" s="43" t="inlineStr">
        <is>
          <t>PACKING タブを押す</t>
        </is>
      </c>
      <c r="G19" s="43" t="inlineStr">
        <is>
          <t>PACKING 一覧が表示され、タブの見た目が入れ替わる</t>
        </is>
      </c>
      <c r="H19" s="44" t="inlineStr">
        <is>
          <t>実装済</t>
        </is>
      </c>
      <c r="I19" s="45" t="n"/>
      <c r="J19" s="45" t="n"/>
      <c r="K19" s="45" t="n"/>
      <c r="L19" s="45" t="n"/>
    </row>
    <row r="20">
      <c r="A20" s="44" t="n">
        <v>19</v>
      </c>
      <c r="B20" s="43" t="inlineStr">
        <is>
          <t>確認画面</t>
        </is>
      </c>
      <c r="C20" s="43" t="inlineStr">
        <is>
          <t>タブ</t>
        </is>
      </c>
      <c r="D20" s="43" t="inlineStr">
        <is>
          <t>INVOICE へ戻す</t>
        </is>
      </c>
      <c r="E20" s="43" t="inlineStr">
        <is>
          <t>PACKING 表示中</t>
        </is>
      </c>
      <c r="F20" s="43" t="inlineStr">
        <is>
          <t>INVOICE タブを押す</t>
        </is>
      </c>
      <c r="G20" s="43" t="inlineStr">
        <is>
          <t>INVOICE 一覧に戻る</t>
        </is>
      </c>
      <c r="H20" s="44" t="inlineStr">
        <is>
          <t>実装済</t>
        </is>
      </c>
      <c r="I20" s="45" t="n"/>
      <c r="J20" s="45" t="n"/>
      <c r="K20" s="45" t="n"/>
      <c r="L20" s="45" t="n"/>
    </row>
    <row r="21">
      <c r="A21" s="44" t="n">
        <v>20</v>
      </c>
      <c r="B21" s="43" t="inlineStr">
        <is>
          <t>確認画面</t>
        </is>
      </c>
      <c r="C21" s="43" t="inlineStr">
        <is>
          <t>編集</t>
        </is>
      </c>
      <c r="D21" s="43" t="inlineStr">
        <is>
          <t>文字列項目の更新</t>
        </is>
      </c>
      <c r="E21" s="43" t="inlineStr">
        <is>
          <t>-</t>
        </is>
      </c>
      <c r="F21" s="43" t="inlineStr">
        <is>
          <t>購買伝票# を直して入力欄から離れる</t>
        </is>
      </c>
      <c r="G21" s="43" t="inlineStr">
        <is>
          <t>「更新しました。」が表示され、一時テーブルの値が変わる。画面全体は再読み込みされない</t>
        </is>
      </c>
      <c r="H21" s="44" t="inlineStr">
        <is>
          <t>実装済</t>
        </is>
      </c>
      <c r="I21" s="45" t="n"/>
      <c r="J21" s="45" t="n"/>
      <c r="K21" s="45" t="n"/>
      <c r="L21" s="45" t="n"/>
    </row>
    <row r="22">
      <c r="A22" s="44" t="n">
        <v>21</v>
      </c>
      <c r="B22" s="43" t="inlineStr">
        <is>
          <t>確認画面</t>
        </is>
      </c>
      <c r="C22" s="43" t="inlineStr">
        <is>
          <t>編集</t>
        </is>
      </c>
      <c r="D22" s="43" t="inlineStr">
        <is>
          <t>数値項目の更新</t>
        </is>
      </c>
      <c r="E22" s="43" t="inlineStr">
        <is>
          <t>-</t>
        </is>
      </c>
      <c r="F22" s="43" t="inlineStr">
        <is>
          <t>金額を直して入力欄から離れる</t>
        </is>
      </c>
      <c r="G22" s="43" t="inlineStr">
        <is>
          <t>小数2桁で表示し直され、一時テーブルの値が変わる</t>
        </is>
      </c>
      <c r="H22" s="44" t="inlineStr">
        <is>
          <t>実装済</t>
        </is>
      </c>
      <c r="I22" s="45" t="n"/>
      <c r="J22" s="45" t="n"/>
      <c r="K22" s="45" t="n"/>
      <c r="L22" s="45" t="n"/>
    </row>
    <row r="23">
      <c r="A23" s="44" t="n">
        <v>22</v>
      </c>
      <c r="B23" s="43" t="inlineStr">
        <is>
          <t>確認画面</t>
        </is>
      </c>
      <c r="C23" s="43" t="inlineStr">
        <is>
          <t>編集</t>
        </is>
      </c>
      <c r="D23" s="43" t="inlineStr">
        <is>
          <t>数量の四捨五入</t>
        </is>
      </c>
      <c r="E23" s="43" t="inlineStr">
        <is>
          <t>-</t>
        </is>
      </c>
      <c r="F23" s="43" t="inlineStr">
        <is>
          <t>数量に 1.6 と入力して離れる</t>
        </is>
      </c>
      <c r="G23" s="43" t="inlineStr">
        <is>
          <t>2 として保存される（列が整数のため）</t>
        </is>
      </c>
      <c r="H23" s="44" t="inlineStr">
        <is>
          <t>実装済</t>
        </is>
      </c>
      <c r="I23" s="45" t="n"/>
      <c r="J23" s="45" t="n"/>
      <c r="K23" s="45" t="n"/>
      <c r="L23" s="45" t="n"/>
    </row>
    <row r="24">
      <c r="A24" s="44" t="n">
        <v>23</v>
      </c>
      <c r="B24" s="43" t="inlineStr">
        <is>
          <t>確認画面</t>
        </is>
      </c>
      <c r="C24" s="43" t="inlineStr">
        <is>
          <t>編集</t>
        </is>
      </c>
      <c r="D24" s="43" t="inlineStr">
        <is>
          <t>日付項目の更新</t>
        </is>
      </c>
      <c r="E24" s="43" t="inlineStr">
        <is>
          <t>-</t>
        </is>
      </c>
      <c r="F24" s="43" t="inlineStr">
        <is>
          <t>B/L DATE に 2026/09/01 と入力して離れる</t>
        </is>
      </c>
      <c r="G24" s="43" t="inlineStr">
        <is>
          <t>yyyy/MM/dd で表示し直され、一時テーブルの値が変わる</t>
        </is>
      </c>
      <c r="H24" s="44" t="inlineStr">
        <is>
          <t>実装済</t>
        </is>
      </c>
      <c r="I24" s="45" t="n"/>
      <c r="J24" s="45" t="n"/>
      <c r="K24" s="45" t="n"/>
      <c r="L24" s="45" t="n"/>
    </row>
    <row r="25">
      <c r="A25" s="44" t="n">
        <v>24</v>
      </c>
      <c r="B25" s="43" t="inlineStr">
        <is>
          <t>確認画面</t>
        </is>
      </c>
      <c r="C25" s="43" t="inlineStr">
        <is>
          <t>編集</t>
        </is>
      </c>
      <c r="D25" s="43" t="inlineStr">
        <is>
          <t>日付の書式違い</t>
        </is>
      </c>
      <c r="E25" s="43" t="inlineStr">
        <is>
          <t>-</t>
        </is>
      </c>
      <c r="F25" s="43" t="inlineStr">
        <is>
          <t>B/L DATE に 20260901 と入力して離れる</t>
        </is>
      </c>
      <c r="G25" s="43" t="inlineStr">
        <is>
          <t>2026/09/01 として保存される</t>
        </is>
      </c>
      <c r="H25" s="44" t="inlineStr">
        <is>
          <t>実装済</t>
        </is>
      </c>
      <c r="I25" s="45" t="n"/>
      <c r="J25" s="45" t="n"/>
      <c r="K25" s="45" t="n"/>
      <c r="L25" s="45" t="n"/>
    </row>
    <row r="26">
      <c r="A26" s="44" t="n">
        <v>25</v>
      </c>
      <c r="B26" s="43" t="inlineStr">
        <is>
          <t>確認画面</t>
        </is>
      </c>
      <c r="C26" s="43" t="inlineStr">
        <is>
          <t>編集</t>
        </is>
      </c>
      <c r="D26" s="43" t="inlineStr">
        <is>
          <t>型が合わない入力</t>
        </is>
      </c>
      <c r="E26" s="43" t="inlineStr">
        <is>
          <t>-</t>
        </is>
      </c>
      <c r="F26" s="43" t="inlineStr">
        <is>
          <t>数量に「あ」と入力して離れる</t>
        </is>
      </c>
      <c r="G26" s="43" t="inlineStr">
        <is>
          <t>「数量の入力が正しくありません。元の値に戻しました。」が表示され、元の値に戻る。保存されない</t>
        </is>
      </c>
      <c r="H26" s="44" t="inlineStr">
        <is>
          <t>実装済</t>
        </is>
      </c>
      <c r="I26" s="45" t="n"/>
      <c r="J26" s="45" t="n"/>
      <c r="K26" s="45" t="n"/>
      <c r="L26" s="45" t="n"/>
    </row>
    <row r="27">
      <c r="A27" s="44" t="n">
        <v>26</v>
      </c>
      <c r="B27" s="43" t="inlineStr">
        <is>
          <t>確認画面</t>
        </is>
      </c>
      <c r="C27" s="43" t="inlineStr">
        <is>
          <t>編集</t>
        </is>
      </c>
      <c r="D27" s="43" t="inlineStr">
        <is>
          <t>日付として読めない入力</t>
        </is>
      </c>
      <c r="E27" s="43" t="inlineStr">
        <is>
          <t>-</t>
        </is>
      </c>
      <c r="F27" s="43" t="inlineStr">
        <is>
          <t>B/L DATE に 2026/13/45 と入力して離れる</t>
        </is>
      </c>
      <c r="G27" s="43" t="inlineStr">
        <is>
          <t>「B/L DATEの入力が正しくありません。元の値に戻しました。」が表示され、元の値に戻る</t>
        </is>
      </c>
      <c r="H27" s="44" t="inlineStr">
        <is>
          <t>実装済</t>
        </is>
      </c>
      <c r="I27" s="45" t="n"/>
      <c r="J27" s="45" t="n"/>
      <c r="K27" s="45" t="n"/>
      <c r="L27" s="45" t="n"/>
    </row>
    <row r="28">
      <c r="A28" s="44" t="n">
        <v>27</v>
      </c>
      <c r="B28" s="43" t="inlineStr">
        <is>
          <t>確認画面</t>
        </is>
      </c>
      <c r="C28" s="43" t="inlineStr">
        <is>
          <t>編集</t>
        </is>
      </c>
      <c r="D28" s="43" t="inlineStr">
        <is>
          <t>桁数を超える入力</t>
        </is>
      </c>
      <c r="E28" s="43" t="inlineStr">
        <is>
          <t>-</t>
        </is>
      </c>
      <c r="F28" s="43" t="inlineStr">
        <is>
          <t>通貨に4文字入力して離れる</t>
        </is>
      </c>
      <c r="G28" s="43" t="inlineStr">
        <is>
          <t>入力欄の MaxLength で3文字までしか入らない。サーバー側でも桁数超過は保存しない</t>
        </is>
      </c>
      <c r="H28" s="44" t="inlineStr">
        <is>
          <t>実装済</t>
        </is>
      </c>
      <c r="I28" s="45" t="n"/>
      <c r="J28" s="45" t="n"/>
      <c r="K28" s="45" t="n"/>
      <c r="L28" s="45" t="n"/>
    </row>
    <row r="29">
      <c r="A29" s="44" t="n">
        <v>28</v>
      </c>
      <c r="B29" s="43" t="inlineStr">
        <is>
          <t>確認画面</t>
        </is>
      </c>
      <c r="C29" s="43" t="inlineStr">
        <is>
          <t>編集</t>
        </is>
      </c>
      <c r="D29" s="43" t="inlineStr">
        <is>
          <t>空欄にする</t>
        </is>
      </c>
      <c r="E29" s="43" t="inlineStr">
        <is>
          <t>-</t>
        </is>
      </c>
      <c r="F29" s="43" t="inlineStr">
        <is>
          <t>購買伝票# を空にして離れる</t>
        </is>
      </c>
      <c r="G29" s="43" t="inlineStr">
        <is>
          <t>NULL が設定される</t>
        </is>
      </c>
      <c r="H29" s="44" t="inlineStr">
        <is>
          <t>実装済</t>
        </is>
      </c>
      <c r="I29" s="45" t="n"/>
      <c r="J29" s="45" t="n"/>
      <c r="K29" s="45" t="n"/>
      <c r="L29" s="45" t="n"/>
    </row>
    <row r="30">
      <c r="A30" s="44" t="n">
        <v>29</v>
      </c>
      <c r="B30" s="43" t="inlineStr">
        <is>
          <t>確認画面</t>
        </is>
      </c>
      <c r="C30" s="43" t="inlineStr">
        <is>
          <t>編集</t>
        </is>
      </c>
      <c r="D30" s="43" t="inlineStr">
        <is>
          <t>ERR_CONTENTS は編集不可</t>
        </is>
      </c>
      <c r="E30" s="43" t="inlineStr">
        <is>
          <t>エラーがあるデータ</t>
        </is>
      </c>
      <c r="F30" s="43" t="inlineStr">
        <is>
          <t>ERR_CONTENTS 欄をクリックする</t>
        </is>
      </c>
      <c r="G30" s="43" t="inlineStr">
        <is>
          <t>入力欄ではないため編集できない</t>
        </is>
      </c>
      <c r="H30" s="44" t="inlineStr">
        <is>
          <t>実装済</t>
        </is>
      </c>
      <c r="I30" s="45" t="n"/>
      <c r="J30" s="45" t="n"/>
      <c r="K30" s="45" t="n"/>
      <c r="L30" s="45" t="n"/>
    </row>
    <row r="31">
      <c r="A31" s="44" t="n">
        <v>30</v>
      </c>
      <c r="B31" s="43" t="inlineStr">
        <is>
          <t>確認画面</t>
        </is>
      </c>
      <c r="C31" s="43" t="inlineStr">
        <is>
          <t>編集</t>
        </is>
      </c>
      <c r="D31" s="43" t="inlineStr">
        <is>
          <t>品目コードのゼロ埋め</t>
        </is>
      </c>
      <c r="E31" s="43" t="inlineStr">
        <is>
          <t>-</t>
        </is>
      </c>
      <c r="F31" s="43" t="inlineStr">
        <is>
          <t>INVOICE の品目コードに 1234 と入力して離れる</t>
        </is>
      </c>
      <c r="G31" s="43" t="inlineStr">
        <is>
          <t>01234 として保存され、画面にも 01234 と表示される</t>
        </is>
      </c>
      <c r="H31" s="44" t="inlineStr">
        <is>
          <t>実装済</t>
        </is>
      </c>
      <c r="I31" s="45" t="n"/>
      <c r="J31" s="45" t="n"/>
      <c r="K31" s="45" t="n"/>
      <c r="L31" s="45" t="n"/>
    </row>
    <row r="32">
      <c r="A32" s="44" t="n">
        <v>31</v>
      </c>
      <c r="B32" s="43" t="inlineStr">
        <is>
          <t>確認画面</t>
        </is>
      </c>
      <c r="C32" s="43" t="inlineStr">
        <is>
          <t>編集</t>
        </is>
      </c>
      <c r="D32" s="43" t="inlineStr">
        <is>
          <t>R3 品目コードの同時更新</t>
        </is>
      </c>
      <c r="E32" s="43" t="inlineStr">
        <is>
          <t>-</t>
        </is>
      </c>
      <c r="F32" s="43" t="inlineStr">
        <is>
          <t>品目コードを直したあと一時テーブルを確認する</t>
        </is>
      </c>
      <c r="G32" s="43" t="inlineStr">
        <is>
          <t>shanghai_code と R3_hinmoku_code の両方が更新されている（18桁ゼロ埋め）</t>
        </is>
      </c>
      <c r="H32" s="44" t="inlineStr">
        <is>
          <t>実装済</t>
        </is>
      </c>
      <c r="I32" s="45" t="n"/>
      <c r="J32" s="45" t="n"/>
      <c r="K32" s="45" t="n"/>
      <c r="L32" s="45" t="n"/>
    </row>
    <row r="33">
      <c r="A33" s="44" t="n">
        <v>32</v>
      </c>
      <c r="B33" s="43" t="inlineStr">
        <is>
          <t>確認画面</t>
        </is>
      </c>
      <c r="C33" s="43" t="inlineStr">
        <is>
          <t>編集</t>
        </is>
      </c>
      <c r="D33" s="43" t="inlineStr">
        <is>
          <t>数値でない品目コード</t>
        </is>
      </c>
      <c r="E33" s="43" t="inlineStr">
        <is>
          <t>-</t>
        </is>
      </c>
      <c r="F33" s="43" t="inlineStr">
        <is>
          <t>品目コードに ABC と入力して離れる</t>
        </is>
      </c>
      <c r="G33" s="43" t="inlineStr">
        <is>
          <t>ゼロ埋めせず ABC のまま保存される</t>
        </is>
      </c>
      <c r="H33" s="44" t="inlineStr">
        <is>
          <t>実装済</t>
        </is>
      </c>
      <c r="I33" s="45" t="n"/>
      <c r="J33" s="45" t="n"/>
      <c r="K33" s="45" t="n"/>
      <c r="L33" s="45" t="n"/>
    </row>
    <row r="34">
      <c r="A34" s="44" t="n">
        <v>33</v>
      </c>
      <c r="B34" s="43" t="inlineStr">
        <is>
          <t>確認画面</t>
        </is>
      </c>
      <c r="C34" s="43" t="inlineStr">
        <is>
          <t>編集</t>
        </is>
      </c>
      <c r="D34" s="43" t="inlineStr">
        <is>
          <t>ERR_CONTENTS は変わらない</t>
        </is>
      </c>
      <c r="E34" s="43" t="inlineStr">
        <is>
          <t>エラーがあるデータ</t>
        </is>
      </c>
      <c r="F34" s="43" t="inlineStr">
        <is>
          <t>エラーの原因になっている値を直す</t>
        </is>
      </c>
      <c r="G34" s="43" t="inlineStr">
        <is>
          <t>ERR_CONTENTS は古いまま残る（再チェックしない仕様）</t>
        </is>
      </c>
      <c r="H34" s="44" t="inlineStr">
        <is>
          <t>実装済</t>
        </is>
      </c>
      <c r="I34" s="45" t="n"/>
      <c r="J34" s="45" t="n"/>
      <c r="K34" s="45" t="n"/>
      <c r="L34" s="45" t="n"/>
    </row>
    <row r="35">
      <c r="A35" s="44" t="n">
        <v>34</v>
      </c>
      <c r="B35" s="43" t="inlineStr">
        <is>
          <t>確認画面</t>
        </is>
      </c>
      <c r="C35" s="43" t="inlineStr">
        <is>
          <t>編集</t>
        </is>
      </c>
      <c r="D35" s="43" t="inlineStr">
        <is>
          <t>本登録済みでも警告を出さない</t>
        </is>
      </c>
      <c r="E35" s="43" t="inlineStr">
        <is>
          <t>本登録済みの INVOICE</t>
        </is>
      </c>
      <c r="F35" s="43" t="inlineStr">
        <is>
          <t>値を直す</t>
        </is>
      </c>
      <c r="G35" s="43" t="inlineStr">
        <is>
          <t>警告は出ず、一時データだけが更新される（本テーブルには反映されない）</t>
        </is>
      </c>
      <c r="H35" s="44" t="inlineStr">
        <is>
          <t>実装済</t>
        </is>
      </c>
      <c r="I35" s="45" t="n"/>
      <c r="J35" s="45" t="n"/>
      <c r="K35" s="45" t="n"/>
      <c r="L35" s="45" t="n"/>
    </row>
    <row r="36">
      <c r="A36" s="44" t="n">
        <v>35</v>
      </c>
      <c r="B36" s="43" t="inlineStr">
        <is>
          <t>確認画面</t>
        </is>
      </c>
      <c r="C36" s="43" t="inlineStr">
        <is>
          <t>編集</t>
        </is>
      </c>
      <c r="D36" s="43" t="inlineStr">
        <is>
          <t>他人の行は更新できない</t>
        </is>
      </c>
      <c r="E36" s="43" t="inlineStr">
        <is>
          <t>他の利用者の一時データがある</t>
        </is>
      </c>
      <c r="F36" s="43" t="inlineStr">
        <is>
          <t>自分の行を更新する</t>
        </is>
      </c>
      <c r="G36" s="43" t="inlineStr">
        <is>
          <t>更新条件が pk_login_code と pk_seq_no のため、他の利用者の行は変わらない</t>
        </is>
      </c>
      <c r="H36" s="44" t="inlineStr">
        <is>
          <t>実装済</t>
        </is>
      </c>
      <c r="I36" s="45" t="n"/>
      <c r="J36" s="45" t="n"/>
      <c r="K36" s="45" t="n"/>
      <c r="L36" s="45" t="n"/>
    </row>
    <row r="37">
      <c r="A37" s="44" t="n">
        <v>36</v>
      </c>
      <c r="B37" s="43" t="inlineStr">
        <is>
          <t>確認画面</t>
        </is>
      </c>
      <c r="C37" s="43" t="inlineStr">
        <is>
          <t>編集</t>
        </is>
      </c>
      <c r="D37" s="43" t="inlineStr">
        <is>
          <t>定義外の項目は更新しない</t>
        </is>
      </c>
      <c r="E37" s="43" t="inlineStr">
        <is>
          <t>-</t>
        </is>
      </c>
      <c r="F37" s="43" t="inlineStr">
        <is>
          <t>入力欄の ID を改変してポストバックする</t>
        </is>
      </c>
      <c r="G37" s="43" t="inlineStr">
        <is>
          <t>定義一覧に無い項目は更新されない（ホワイトリスト照合）</t>
        </is>
      </c>
      <c r="H37" s="44" t="inlineStr">
        <is>
          <t>実装済</t>
        </is>
      </c>
      <c r="I37" s="45" t="n"/>
      <c r="J37" s="45" t="n"/>
      <c r="K37" s="45" t="n"/>
      <c r="L37" s="45" t="n"/>
    </row>
    <row r="38">
      <c r="A38" s="44" t="n">
        <v>37</v>
      </c>
      <c r="B38" s="43" t="inlineStr">
        <is>
          <t>確認画面</t>
        </is>
      </c>
      <c r="C38" s="43" t="inlineStr">
        <is>
          <t>突合キー</t>
        </is>
      </c>
      <c r="D38" s="43" t="inlineStr">
        <is>
          <t>片方だけ直した場合</t>
        </is>
      </c>
      <c r="E38" s="43" t="inlineStr">
        <is>
          <t>-</t>
        </is>
      </c>
      <c r="F38" s="43" t="inlineStr">
        <is>
          <t>PACKING の品目コードだけを直し、本登録して 107 を見る</t>
        </is>
      </c>
      <c r="G38" s="43" t="inlineStr">
        <is>
          <t>INNER JOIN が外れ、その行が輸入仕入実績に現れない（既知の注意点。保守マップ §8-20）</t>
        </is>
      </c>
      <c r="H38" s="44" t="inlineStr">
        <is>
          <t>未実装</t>
        </is>
      </c>
      <c r="I38" s="45" t="n"/>
      <c r="J38" s="45" t="n"/>
      <c r="K38" s="45" t="n"/>
      <c r="L38" s="45" t="n"/>
    </row>
    <row r="39">
      <c r="A39" s="44" t="n">
        <v>38</v>
      </c>
      <c r="B39" s="43" t="inlineStr">
        <is>
          <t>確認画面</t>
        </is>
      </c>
      <c r="C39" s="43" t="inlineStr">
        <is>
          <t>突合キー</t>
        </is>
      </c>
      <c r="D39" s="43" t="inlineStr">
        <is>
          <t>両方直した場合</t>
        </is>
      </c>
      <c r="E39" s="43" t="inlineStr">
        <is>
          <t>-</t>
        </is>
      </c>
      <c r="F39" s="43" t="inlineStr">
        <is>
          <t>INVOICE と PACKING の品目コードを同じ値に直し、本登録して 107 を見る</t>
        </is>
      </c>
      <c r="G39" s="43" t="inlineStr">
        <is>
          <t>行が正しく現れる</t>
        </is>
      </c>
      <c r="H39" s="44" t="inlineStr">
        <is>
          <t>未実装</t>
        </is>
      </c>
      <c r="I39" s="45" t="n"/>
      <c r="J39" s="45" t="n"/>
      <c r="K39" s="45" t="n"/>
      <c r="L39" s="45" t="n"/>
    </row>
    <row r="40">
      <c r="A40" s="44" t="n">
        <v>39</v>
      </c>
      <c r="B40" s="43" t="inlineStr">
        <is>
          <t>確認画面</t>
        </is>
      </c>
      <c r="C40" s="43" t="inlineStr">
        <is>
          <t>閉じる</t>
        </is>
      </c>
      <c r="D40" s="43" t="inlineStr">
        <is>
          <t>タブを閉じる</t>
        </is>
      </c>
      <c r="E40" s="43" t="inlineStr">
        <is>
          <t>別タブで開いている</t>
        </is>
      </c>
      <c r="F40" s="43" t="inlineStr">
        <is>
          <t>「閉じる」を押す</t>
        </is>
      </c>
      <c r="G40" s="43" t="inlineStr">
        <is>
          <t>このタブが閉じ、取込画面のタブが残る</t>
        </is>
      </c>
      <c r="H40" s="44" t="inlineStr">
        <is>
          <t>実装済</t>
        </is>
      </c>
      <c r="I40" s="45" t="n"/>
      <c r="J40" s="45" t="n"/>
      <c r="K40" s="45" t="n"/>
      <c r="L40" s="45" t="n"/>
    </row>
    <row r="41">
      <c r="A41" s="44" t="n">
        <v>40</v>
      </c>
      <c r="B41" s="43" t="inlineStr">
        <is>
          <t>確認画面</t>
        </is>
      </c>
      <c r="C41" s="43" t="inlineStr">
        <is>
          <t>閉じる</t>
        </is>
      </c>
      <c r="D41" s="43" t="inlineStr">
        <is>
          <t>閉じられない場合</t>
        </is>
      </c>
      <c r="E41" s="43" t="inlineStr">
        <is>
          <t>ブラウザがスクリプトからのタブ操作を許していない</t>
        </is>
      </c>
      <c r="F41" s="43" t="inlineStr">
        <is>
          <t>「閉じる」を押す</t>
        </is>
      </c>
      <c r="G41" s="43" t="inlineStr">
        <is>
          <t>「このタブを閉じて、取込画面に戻ってください。」が表示される</t>
        </is>
      </c>
      <c r="H41" s="44" t="inlineStr">
        <is>
          <t>実装済</t>
        </is>
      </c>
      <c r="I41" s="45" t="n"/>
      <c r="J41" s="45" t="n"/>
      <c r="K41" s="45" t="n"/>
      <c r="L41" s="45" t="n"/>
    </row>
    <row r="42">
      <c r="A42" s="44" t="n">
        <v>41</v>
      </c>
      <c r="B42" s="43" t="inlineStr">
        <is>
          <t>確認画面</t>
        </is>
      </c>
      <c r="C42" s="43" t="inlineStr">
        <is>
          <t>閉じる</t>
        </is>
      </c>
      <c r="D42" s="43" t="inlineStr">
        <is>
          <t>取込画面へ遷移しない</t>
        </is>
      </c>
      <c r="E42" s="43" t="inlineStr">
        <is>
          <t>-</t>
        </is>
      </c>
      <c r="F42" s="43" t="inlineStr">
        <is>
          <t>「閉じる」を押す</t>
        </is>
      </c>
      <c r="G42" s="43" t="inlineStr">
        <is>
          <t>取込画面が同じタブで開き直されることはない</t>
        </is>
      </c>
      <c r="H42" s="44" t="inlineStr">
        <is>
          <t>実装済</t>
        </is>
      </c>
      <c r="I42" s="45" t="n"/>
      <c r="J42" s="45" t="n"/>
      <c r="K42" s="45" t="n"/>
      <c r="L42" s="45" t="n"/>
    </row>
    <row r="43">
      <c r="A43" s="44" t="n">
        <v>42</v>
      </c>
      <c r="B43" s="43" t="inlineStr">
        <is>
          <t>確認画面</t>
        </is>
      </c>
      <c r="C43" s="43" t="inlineStr">
        <is>
          <t>遷移</t>
        </is>
      </c>
      <c r="D43" s="43" t="inlineStr">
        <is>
          <t>MENUへ</t>
        </is>
      </c>
      <c r="E43" s="43" t="inlineStr">
        <is>
          <t>-</t>
        </is>
      </c>
      <c r="F43" s="43" t="inlineStr">
        <is>
          <t>「MENUへ」を押す</t>
        </is>
      </c>
      <c r="G43" s="43" t="inlineStr">
        <is>
          <t>このタブでメニュー画面が開く</t>
        </is>
      </c>
      <c r="H43" s="44" t="inlineStr">
        <is>
          <t>実装済</t>
        </is>
      </c>
      <c r="I43" s="45" t="n"/>
      <c r="J43" s="45" t="n"/>
      <c r="K43" s="45" t="n"/>
      <c r="L43" s="45" t="n"/>
    </row>
    <row r="44">
      <c r="A44" s="44" t="n">
        <v>43</v>
      </c>
      <c r="B44" s="43" t="inlineStr">
        <is>
          <t>確認画面</t>
        </is>
      </c>
      <c r="C44" s="43" t="inlineStr">
        <is>
          <t>EXCELへ</t>
        </is>
      </c>
      <c r="D44" s="43" t="inlineStr">
        <is>
          <t>未実装の案内</t>
        </is>
      </c>
      <c r="E44" s="43" t="inlineStr">
        <is>
          <t>-</t>
        </is>
      </c>
      <c r="F44" s="43" t="inlineStr">
        <is>
          <t>「EXCELへ」を押す</t>
        </is>
      </c>
      <c r="G44" s="43" t="inlineStr">
        <is>
          <t>「現在未実装です。」が表示される</t>
        </is>
      </c>
      <c r="H44" s="44" t="inlineStr">
        <is>
          <t>実装済</t>
        </is>
      </c>
      <c r="I44" s="45" t="n"/>
      <c r="J44" s="45" t="n"/>
      <c r="K44" s="45" t="n"/>
      <c r="L44" s="45" t="n"/>
    </row>
    <row r="45">
      <c r="A45" s="44" t="n">
        <v>44</v>
      </c>
      <c r="B45" s="43" t="inlineStr">
        <is>
          <t>確認画面</t>
        </is>
      </c>
      <c r="C45" s="43" t="inlineStr">
        <is>
          <t>EXCELへ</t>
        </is>
      </c>
      <c r="D45" s="43" t="inlineStr">
        <is>
          <t>Excel 添付メール</t>
        </is>
      </c>
      <c r="E45" s="43" t="inlineStr">
        <is>
          <t>メール送信画面の実装後</t>
        </is>
      </c>
      <c r="F45" s="43" t="inlineStr">
        <is>
          <t>「EXCELへ」を押す</t>
        </is>
      </c>
      <c r="G45" s="43" t="inlineStr">
        <is>
          <t>一覧が Excel として出力され、メール送信画面へ渡される</t>
        </is>
      </c>
      <c r="H45" s="44" t="inlineStr">
        <is>
          <t>未実装</t>
        </is>
      </c>
      <c r="I45" s="45" t="n"/>
      <c r="J45" s="45" t="n"/>
      <c r="K45" s="45" t="n"/>
      <c r="L45" s="45" t="n"/>
    </row>
    <row r="46">
      <c r="A46" s="44" t="n">
        <v>45</v>
      </c>
      <c r="B46" s="43" t="inlineStr">
        <is>
          <t>確認画面</t>
        </is>
      </c>
      <c r="C46" s="43" t="inlineStr">
        <is>
          <t>再読み込み</t>
        </is>
      </c>
      <c r="D46" s="43" t="inlineStr">
        <is>
          <t>別タブで取り込み直した場合</t>
        </is>
      </c>
      <c r="E46" s="43" t="inlineStr">
        <is>
          <t>取込画面で取り込みを再実行した</t>
        </is>
      </c>
      <c r="F46" s="43" t="inlineStr">
        <is>
          <t>この画面でヘッダーの再読み込みを押す</t>
        </is>
      </c>
      <c r="G46" s="43" t="inlineStr">
        <is>
          <t>入れ替わった一時データが表示される</t>
        </is>
      </c>
      <c r="H46" s="44" t="inlineStr">
        <is>
          <t>実装済</t>
        </is>
      </c>
      <c r="I46" s="45" t="n"/>
      <c r="J46" s="45" t="n"/>
      <c r="K46" s="45" t="n"/>
      <c r="L46" s="45" t="n"/>
    </row>
    <row r="47">
      <c r="A47" s="44" t="n">
        <v>46</v>
      </c>
      <c r="B47" s="43" t="inlineStr">
        <is>
          <t>確認画面</t>
        </is>
      </c>
      <c r="C47" s="43" t="inlineStr">
        <is>
          <t>権限</t>
        </is>
      </c>
      <c r="D47" s="43" t="inlineStr">
        <is>
          <t>権限が無い場合</t>
        </is>
      </c>
      <c r="E47" s="43" t="inlineStr">
        <is>
          <t>menuNo=108 の権限が無い社員</t>
        </is>
      </c>
      <c r="F47" s="43" t="inlineStr">
        <is>
          <t>取込画面を開く</t>
        </is>
      </c>
      <c r="G47" s="43" t="inlineStr">
        <is>
          <t>「取込内容確認」のリンクが表示されない</t>
        </is>
      </c>
      <c r="H47" s="44" t="inlineStr">
        <is>
          <t>未実装</t>
        </is>
      </c>
      <c r="I47" s="45" t="n"/>
      <c r="J47" s="45" t="n"/>
      <c r="K47" s="45" t="n"/>
      <c r="L47" s="45" t="n"/>
    </row>
    <row r="48">
      <c r="A48" s="44" t="n">
        <v>47</v>
      </c>
      <c r="B48" s="43" t="inlineStr">
        <is>
          <t>確認画面</t>
        </is>
      </c>
      <c r="C48" s="43" t="inlineStr">
        <is>
          <t>セキュリティ</t>
        </is>
      </c>
      <c r="D48" s="43" t="inlineStr">
        <is>
          <t>直接 URL を開く</t>
        </is>
      </c>
      <c r="E48" s="43" t="inlineStr">
        <is>
          <t>未ログイン</t>
        </is>
      </c>
      <c r="F48" s="43" t="inlineStr">
        <is>
          <t>ImportResult.aspx を直接開く</t>
        </is>
      </c>
      <c r="G48" s="43" t="inlineStr">
        <is>
          <t>ログイン画面へ戻され、ログイン後にこの画面へ戻る</t>
        </is>
      </c>
      <c r="H48" s="44" t="inlineStr">
        <is>
          <t>実装済</t>
        </is>
      </c>
      <c r="I48" s="45" t="n"/>
      <c r="J48" s="45" t="n"/>
      <c r="K48" s="45" t="n"/>
      <c r="L48" s="45" t="n"/>
    </row>
    <row r="49">
      <c r="A49" s="44" t="n">
        <v>48</v>
      </c>
      <c r="B49" s="43" t="inlineStr">
        <is>
          <t>確認画面</t>
        </is>
      </c>
      <c r="C49" s="43" t="inlineStr">
        <is>
          <t>セキュリティ</t>
        </is>
      </c>
      <c r="D49" s="43" t="inlineStr">
        <is>
          <t>ERR_CONTENTS の出力</t>
        </is>
      </c>
      <c r="E49" s="43" t="inlineStr">
        <is>
          <t>ERR_CONTENTS にタグらしい文字列を入れる</t>
        </is>
      </c>
      <c r="F49" s="43" t="inlineStr">
        <is>
          <t>一覧を見る</t>
        </is>
      </c>
      <c r="G49" s="43" t="inlineStr">
        <is>
          <t>タグとして解釈されず、そのまま文字として表示される</t>
        </is>
      </c>
      <c r="H49" s="44" t="inlineStr">
        <is>
          <t>実装済</t>
        </is>
      </c>
      <c r="I49" s="45" t="n"/>
      <c r="J49" s="45" t="n"/>
      <c r="K49" s="45" t="n"/>
      <c r="L49" s="45" t="n"/>
    </row>
    <row r="50">
      <c r="A50" s="44" t="n">
        <v>49</v>
      </c>
      <c r="B50" s="43" t="inlineStr">
        <is>
          <t>確認画面</t>
        </is>
      </c>
      <c r="C50" s="43" t="inlineStr">
        <is>
          <t>編集</t>
        </is>
      </c>
      <c r="D50" s="43" t="inlineStr">
        <is>
          <t>2回続けて編集する</t>
        </is>
      </c>
      <c r="E50" s="43" t="inlineStr">
        <is>
          <t>-</t>
        </is>
      </c>
      <c r="F50" s="43" t="inlineStr">
        <is>
          <t>1つ直したあと、続けて別のセルを直す</t>
        </is>
      </c>
      <c r="G50" s="43" t="inlineStr">
        <is>
          <t>2回目も「更新しました。」が表示され保存される（ポストバック後もイベントが結び付いている）</t>
        </is>
      </c>
      <c r="H50" s="44" t="inlineStr">
        <is>
          <t>実装済</t>
        </is>
      </c>
      <c r="I50" s="45" t="n"/>
      <c r="J50" s="45" t="n"/>
      <c r="K50" s="45" t="n"/>
      <c r="L50" s="45" t="n"/>
    </row>
    <row r="51">
      <c r="A51" s="44" t="n">
        <v>50</v>
      </c>
      <c r="B51" s="43" t="inlineStr">
        <is>
          <t>確認画面</t>
        </is>
      </c>
      <c r="C51" s="43" t="inlineStr">
        <is>
          <t>編集</t>
        </is>
      </c>
      <c r="D51" s="43" t="inlineStr">
        <is>
          <t>タブ切替後に編集する</t>
        </is>
      </c>
      <c r="E51" s="43" t="inlineStr">
        <is>
          <t>-</t>
        </is>
      </c>
      <c r="F51" s="43" t="inlineStr">
        <is>
          <t>PACKING タブへ切り替えてからセルを直す</t>
        </is>
      </c>
      <c r="G51" s="43" t="inlineStr">
        <is>
          <t>保存される</t>
        </is>
      </c>
      <c r="H51" s="44" t="inlineStr">
        <is>
          <t>実装済</t>
        </is>
      </c>
      <c r="I51" s="45" t="n"/>
      <c r="J51" s="45" t="n"/>
      <c r="K51" s="45" t="n"/>
      <c r="L51" s="45" t="n"/>
    </row>
    <row r="52">
      <c r="A52" s="44" t="n">
        <v>51</v>
      </c>
      <c r="B52" s="43" t="inlineStr">
        <is>
          <t>確認画面</t>
        </is>
      </c>
      <c r="C52" s="43" t="inlineStr">
        <is>
          <t>編集</t>
        </is>
      </c>
      <c r="D52" s="43" t="inlineStr">
        <is>
          <t>絞り込み後に編集する</t>
        </is>
      </c>
      <c r="E52" s="43" t="inlineStr">
        <is>
          <t>-</t>
        </is>
      </c>
      <c r="F52" s="43" t="inlineStr">
        <is>
          <t>元INV_NO で絞ってからセルを直す</t>
        </is>
      </c>
      <c r="G52" s="43" t="inlineStr">
        <is>
          <t>保存される</t>
        </is>
      </c>
      <c r="H52" s="44" t="inlineStr">
        <is>
          <t>実装済</t>
        </is>
      </c>
      <c r="I52" s="45" t="n"/>
      <c r="J52" s="45" t="n"/>
      <c r="K52" s="45" t="n"/>
      <c r="L52" s="45" t="n"/>
    </row>
    <row r="53">
      <c r="A53" s="44" t="n">
        <v>52</v>
      </c>
      <c r="B53" s="43" t="inlineStr">
        <is>
          <t>確認画面</t>
        </is>
      </c>
      <c r="C53" s="43" t="inlineStr">
        <is>
          <t>配色</t>
        </is>
      </c>
      <c r="D53" s="43" t="inlineStr">
        <is>
          <t>外枠と見出し</t>
        </is>
      </c>
      <c r="E53" s="43" t="inlineStr">
        <is>
          <t>-</t>
        </is>
      </c>
      <c r="F53" s="43" t="inlineStr">
        <is>
          <t>一覧を見る</t>
        </is>
      </c>
      <c r="G53" s="43" t="inlineStr">
        <is>
          <t>一覧の外側が薄い青、見出しが灰色で表示される</t>
        </is>
      </c>
      <c r="H53" s="44" t="inlineStr">
        <is>
          <t>実装済</t>
        </is>
      </c>
      <c r="I53" s="45" t="n"/>
      <c r="J53" s="45" t="n"/>
      <c r="K53" s="45" t="n"/>
      <c r="L53" s="45" t="n"/>
    </row>
    <row r="54">
      <c r="A54" s="44" t="n">
        <v>53</v>
      </c>
      <c r="B54" s="43" t="inlineStr">
        <is>
          <t>確認画面</t>
        </is>
      </c>
      <c r="C54" s="43" t="inlineStr">
        <is>
          <t>配色</t>
        </is>
      </c>
      <c r="D54" s="43" t="inlineStr">
        <is>
          <t>INVOICE の入力欄</t>
        </is>
      </c>
      <c r="E54" s="43" t="inlineStr">
        <is>
          <t>-</t>
        </is>
      </c>
      <c r="F54" s="43" t="inlineStr">
        <is>
          <t>INVOICE タブを見る</t>
        </is>
      </c>
      <c r="G54" s="43" t="inlineStr">
        <is>
          <t>入力欄が白背景・青枠で、直せる欄だと分かる</t>
        </is>
      </c>
      <c r="H54" s="44" t="inlineStr">
        <is>
          <t>実装済</t>
        </is>
      </c>
      <c r="I54" s="45" t="n"/>
      <c r="J54" s="45" t="n"/>
      <c r="K54" s="45" t="n"/>
      <c r="L54" s="45" t="n"/>
    </row>
    <row r="55">
      <c r="A55" s="44" t="n">
        <v>54</v>
      </c>
      <c r="B55" s="43" t="inlineStr">
        <is>
          <t>確認画面</t>
        </is>
      </c>
      <c r="C55" s="43" t="inlineStr">
        <is>
          <t>配色</t>
        </is>
      </c>
      <c r="D55" s="43" t="inlineStr">
        <is>
          <t>PACKING の入力欄</t>
        </is>
      </c>
      <c r="E55" s="43" t="inlineStr">
        <is>
          <t>-</t>
        </is>
      </c>
      <c r="F55" s="43" t="inlineStr">
        <is>
          <t>PACKING タブを見る</t>
        </is>
      </c>
      <c r="G55" s="43" t="inlineStr">
        <is>
          <t>入力欄が薄い黄色・青枠で、INVOICE 側と見分けられる</t>
        </is>
      </c>
      <c r="H55" s="44" t="inlineStr">
        <is>
          <t>実装済</t>
        </is>
      </c>
      <c r="I55" s="45" t="n"/>
      <c r="J55" s="45" t="n"/>
      <c r="K55" s="45" t="n"/>
      <c r="L55" s="45" t="n"/>
    </row>
    <row r="56">
      <c r="A56" s="44" t="n">
        <v>55</v>
      </c>
      <c r="B56" s="43" t="inlineStr">
        <is>
          <t>確認画面</t>
        </is>
      </c>
      <c r="C56" s="43" t="inlineStr">
        <is>
          <t>配色</t>
        </is>
      </c>
      <c r="D56" s="43" t="inlineStr">
        <is>
          <t>ERR_CONTENTS の色</t>
        </is>
      </c>
      <c r="E56" s="43" t="inlineStr">
        <is>
          <t>エラーがあるデータ</t>
        </is>
      </c>
      <c r="F56" s="43" t="inlineStr">
        <is>
          <t>一覧を見る</t>
        </is>
      </c>
      <c r="G56" s="43" t="inlineStr">
        <is>
          <t>エラー内容が赤の太字で表示される</t>
        </is>
      </c>
      <c r="H56" s="44" t="inlineStr">
        <is>
          <t>実装済</t>
        </is>
      </c>
      <c r="I56" s="45" t="n"/>
      <c r="J56" s="45" t="n"/>
      <c r="K56" s="45" t="n"/>
      <c r="L56" s="45" t="n"/>
    </row>
    <row r="57">
      <c r="A57" s="44" t="n">
        <v>56</v>
      </c>
      <c r="B57" s="43" t="inlineStr">
        <is>
          <t>確認画面</t>
        </is>
      </c>
      <c r="C57" s="43" t="inlineStr">
        <is>
          <t>配色</t>
        </is>
      </c>
      <c r="D57" s="43" t="inlineStr">
        <is>
          <t>エラー行の色が透ける</t>
        </is>
      </c>
      <c r="E57" s="43" t="inlineStr">
        <is>
          <t>エラーになる明細を含むデータ</t>
        </is>
      </c>
      <c r="F57" s="43" t="inlineStr">
        <is>
          <t>一覧を見る</t>
        </is>
      </c>
      <c r="G57" s="43" t="inlineStr">
        <is>
          <t>行全体がエラー色になり、入力欄の中も同じ色になる（白く抜けない）</t>
        </is>
      </c>
      <c r="H57" s="44" t="inlineStr">
        <is>
          <t>実装済</t>
        </is>
      </c>
      <c r="I57" s="45" t="n"/>
      <c r="J57" s="45" t="n"/>
      <c r="K57" s="45" t="n"/>
      <c r="L57" s="45" t="n"/>
    </row>
    <row r="58">
      <c r="A58" s="44" t="n">
        <v>57</v>
      </c>
      <c r="B58" s="43" t="inlineStr">
        <is>
          <t>確認画面</t>
        </is>
      </c>
      <c r="C58" s="43" t="inlineStr">
        <is>
          <t>配色</t>
        </is>
      </c>
      <c r="D58" s="43" t="inlineStr">
        <is>
          <t>入力中の見た目</t>
        </is>
      </c>
      <c r="E58" s="43" t="inlineStr">
        <is>
          <t>-</t>
        </is>
      </c>
      <c r="F58" s="43" t="inlineStr">
        <is>
          <t>セルをクリックする</t>
        </is>
      </c>
      <c r="G58" s="43" t="inlineStr">
        <is>
          <t>枠が青くなり、入力中だと分かる</t>
        </is>
      </c>
      <c r="H58" s="44" t="inlineStr">
        <is>
          <t>実装済</t>
        </is>
      </c>
      <c r="I58" s="45" t="n"/>
      <c r="J58" s="45" t="n"/>
      <c r="K58" s="45" t="n"/>
      <c r="L58" s="45" t="n"/>
    </row>
    <row r="59">
      <c r="A59" s="44" t="n">
        <v>58</v>
      </c>
      <c r="B59" s="43" t="inlineStr">
        <is>
          <t>確認画面</t>
        </is>
      </c>
      <c r="C59" s="43" t="inlineStr">
        <is>
          <t>突合キー</t>
        </is>
      </c>
      <c r="D59" s="43" t="inlineStr">
        <is>
          <t>PO を直すと2列が食い違う</t>
        </is>
      </c>
      <c r="E59" s="43" t="inlineStr">
        <is>
          <t>-</t>
        </is>
      </c>
      <c r="F59" s="43" t="inlineStr">
        <is>
          <t>PACKING の PO を直して本登録し、明細の syanai_sansyo_no と syanai_sansyo_no_original を比べる</t>
        </is>
      </c>
      <c r="G59" s="43" t="inlineStr">
        <is>
          <t>2列の値が食い違う（既知の課題。保守マップ §8-39。対応方針の決定待ち）</t>
        </is>
      </c>
      <c r="H59" s="44" t="inlineStr">
        <is>
          <t>未実装</t>
        </is>
      </c>
      <c r="I59" s="45" t="n"/>
      <c r="J59" s="45" t="n"/>
      <c r="K59" s="45" t="n"/>
      <c r="L59" s="45" t="n"/>
    </row>
    <row r="60">
      <c r="A60" s="44" t="n">
        <v>59</v>
      </c>
      <c r="B60" s="43" t="inlineStr">
        <is>
          <t>確認画面</t>
        </is>
      </c>
      <c r="C60" s="43" t="inlineStr">
        <is>
          <t>突合キー</t>
        </is>
      </c>
      <c r="D60" s="43" t="inlineStr">
        <is>
          <t>PO を直すと107に影響する</t>
        </is>
      </c>
      <c r="E60" s="43" t="inlineStr">
        <is>
          <t>-</t>
        </is>
      </c>
      <c r="F60" s="43" t="inlineStr">
        <is>
          <t>PACKING の PO を直して本登録し、輸入仕入実績（107）を見る</t>
        </is>
      </c>
      <c r="G60" s="43" t="inlineStr">
        <is>
          <t>syanai_sansyo_no が突合キーのため、結合が外れて行が現れない可能性がある</t>
        </is>
      </c>
      <c r="H60" s="44" t="inlineStr">
        <is>
          <t>未実装</t>
        </is>
      </c>
      <c r="I60" s="45" t="n"/>
      <c r="J60" s="45" t="n"/>
      <c r="K60" s="45" t="n"/>
      <c r="L60" s="45" t="n"/>
    </row>
    <row r="61">
      <c r="A61" s="44" t="n">
        <v>60</v>
      </c>
      <c r="B61" s="43" t="inlineStr">
        <is>
          <t>確認画面</t>
        </is>
      </c>
      <c r="C61" s="43" t="inlineStr">
        <is>
          <t>編集</t>
        </is>
      </c>
      <c r="D61" s="43" t="inlineStr">
        <is>
          <t>C/NO に数値でない値を入れる</t>
        </is>
      </c>
      <c r="E61" s="43" t="inlineStr">
        <is>
          <t>-</t>
        </is>
      </c>
      <c r="F61" s="43" t="inlineStr">
        <is>
          <t>C/NO 開始に「ABC」と入力し、取込画面で「チェック→登録」を押す</t>
        </is>
      </c>
      <c r="G61" s="43" t="inlineStr">
        <is>
          <t>箱数の計算（終了 − 開始 + 1）で変換エラーにならないこと。落ちる場合は入力制限が必要（保守マップ §8-40）</t>
        </is>
      </c>
      <c r="H61" s="44" t="inlineStr">
        <is>
          <t>未実装</t>
        </is>
      </c>
      <c r="I61" s="45" t="n"/>
      <c r="J61" s="45" t="n"/>
      <c r="K61" s="45" t="n"/>
      <c r="L61" s="45" t="n"/>
    </row>
    <row r="62">
      <c r="A62" s="44" t="n">
        <v>61</v>
      </c>
      <c r="B62" s="43" t="inlineStr">
        <is>
          <t>確認画面</t>
        </is>
      </c>
      <c r="C62" s="43" t="inlineStr">
        <is>
          <t>編集</t>
        </is>
      </c>
      <c r="D62" s="43" t="inlineStr">
        <is>
          <t>運賃行の組み合わせを崩す</t>
        </is>
      </c>
      <c r="E62" s="43" t="inlineStr">
        <is>
          <t>品目コードが MISC の運賃行</t>
        </is>
      </c>
      <c r="F62" s="43" t="inlineStr">
        <is>
          <t>品名だけを消して本登録し、明細を確認する</t>
        </is>
      </c>
      <c r="G62" s="43" t="inlineStr">
        <is>
          <t>品名が FREIGHT として登録される（ストアドの読み替え）。意図しない値にならないこと</t>
        </is>
      </c>
      <c r="H62" s="44" t="inlineStr">
        <is>
          <t>未実装</t>
        </is>
      </c>
      <c r="I62" s="45" t="n"/>
      <c r="J62" s="45" t="n"/>
      <c r="K62" s="45" t="n"/>
      <c r="L62" s="45" t="n"/>
    </row>
    <row r="63">
      <c r="A63" s="44" t="n">
        <v>62</v>
      </c>
      <c r="B63" s="43" t="inlineStr">
        <is>
          <t>確認画面</t>
        </is>
      </c>
      <c r="C63" s="43" t="inlineStr">
        <is>
          <t>編集</t>
        </is>
      </c>
      <c r="D63" s="43" t="inlineStr">
        <is>
          <t>金額を片方だけ直す</t>
        </is>
      </c>
      <c r="E63" s="43" t="inlineStr">
        <is>
          <t>-</t>
        </is>
      </c>
      <c r="F63" s="43" t="inlineStr">
        <is>
          <t>INVOICE の金額だけを直して本登録し、INVOICE 明細と PACKING 明細の金額を比べる</t>
        </is>
      </c>
      <c r="G63" s="43" t="inlineStr">
        <is>
          <t>両明細の金額が食い違う。PACKING 側も直す必要がある</t>
        </is>
      </c>
      <c r="H63" s="44" t="inlineStr">
        <is>
          <t>未実装</t>
        </is>
      </c>
      <c r="I63" s="45" t="n"/>
      <c r="J63" s="45" t="n"/>
      <c r="K63" s="45" t="n"/>
      <c r="L63" s="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2026-08-14T03:03:07Z</dcterms:created>
  <dcterms:modified xmlns:dcterms="http://purl.org/dc/terms/" xmlns:xsi="http://www.w3.org/2001/XMLSchema-instance" xsi:type="dcterms:W3CDTF">2026-09-25T02:54:34Z</dcterms:modified>
  <cp:revision>0</cp:revision>
</cp:coreProperties>
</file>